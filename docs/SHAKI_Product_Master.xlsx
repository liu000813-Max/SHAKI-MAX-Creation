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ad606e544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Master" sheetId="1" r:id="R55d59017f7074bf3"/>
    <x:sheet xmlns:r="http://schemas.openxmlformats.org/officeDocument/2006/relationships" name="Field_Dictionary" sheetId="2" r:id="R6af1385e66cd4108"/>
    <x:sheet xmlns:r="http://schemas.openxmlformats.org/officeDocument/2006/relationships" name="Category_Taxonomy" sheetId="3" r:id="R7f80a2d88021462e"/>
    <x:sheet xmlns:r="http://schemas.openxmlformats.org/officeDocument/2006/relationships" name="Tag_Dictionary" sheetId="4" r:id="R86b2cd4ba0c74b71"/>
    <x:sheet xmlns:r="http://schemas.openxmlformats.org/officeDocument/2006/relationships" name="Example_SKUs" sheetId="5" r:id="R29468326f0fe41dc"/>
    <x:sheet xmlns:r="http://schemas.openxmlformats.org/officeDocument/2006/relationships" name="Validation_Lists" sheetId="6" r:id="R5d3383a97d324089"/>
    <x:sheet xmlns:r="http://schemas.openxmlformats.org/officeDocument/2006/relationships" name="Scoring" sheetId="7" r:id="R821d396b33304f6c"/>
    <x:sheet xmlns:r="http://schemas.openxmlformats.org/officeDocument/2006/relationships" name="Media_Standard" sheetId="8" r:id="R3725d0b6c77b486a"/>
    <x:sheet xmlns:r="http://schemas.openxmlformats.org/officeDocument/2006/relationships" name="README" sheetId="9" r:id="Rcdff3cce54d94b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Carlito"/>
    </x:font>
    <x:font>
      <x:b/>
      <x:sz val="9"/>
      <x:color rgb="FF4B2E6D"/>
      <x:name val="Carlito"/>
    </x:font>
    <x:font>
      <x:b/>
      <x:sz val="16"/>
      <x:color rgb="FFFFFFFF"/>
      <x:name val="Carlito"/>
    </x:font>
    <x:font>
      <x:b/>
      <x:sz val="11"/>
      <x:color rgb="FF4B2E6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E4A8E"/>
      </x:patternFill>
    </x:fill>
    <x:fill>
      <x:patternFill patternType="solid">
        <x:fgColor rgb="FFEDE6F4"/>
      </x:patternFill>
    </x:fill>
    <x:fill>
      <x:patternFill patternType="solid">
        <x:fgColor rgb="FF4B2E6D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left" wrapText="1"/>
    </x:xf>
    <x:xf numFmtId="0" fontId="4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a51ab967a4385" /><Relationship Type="http://schemas.openxmlformats.org/officeDocument/2006/relationships/theme" Target="/xl/theme/theme1.xml" Id="R6d8ea6b8fc254dba" /><Relationship Type="http://schemas.openxmlformats.org/officeDocument/2006/relationships/sharedStrings" Target="/xl/sharedStrings.xml" Id="R020cfab1b29e4dc0" /><Relationship Type="http://schemas.openxmlformats.org/officeDocument/2006/relationships/worksheet" Target="/xl/worksheets/sheet1.xml" Id="R55d59017f7074bf3" /><Relationship Type="http://schemas.openxmlformats.org/officeDocument/2006/relationships/worksheet" Target="/xl/worksheets/sheet2.xml" Id="R6af1385e66cd4108" /><Relationship Type="http://schemas.openxmlformats.org/officeDocument/2006/relationships/worksheet" Target="/xl/worksheets/sheet3.xml" Id="R7f80a2d88021462e" /><Relationship Type="http://schemas.openxmlformats.org/officeDocument/2006/relationships/worksheet" Target="/xl/worksheets/sheet4.xml" Id="R86b2cd4ba0c74b71" /><Relationship Type="http://schemas.openxmlformats.org/officeDocument/2006/relationships/worksheet" Target="/xl/worksheets/sheet5.xml" Id="R29468326f0fe41dc" /><Relationship Type="http://schemas.openxmlformats.org/officeDocument/2006/relationships/worksheet" Target="/xl/worksheets/sheet6.xml" Id="R5d3383a97d324089" /><Relationship Type="http://schemas.openxmlformats.org/officeDocument/2006/relationships/worksheet" Target="/xl/worksheets/sheet7.xml" Id="R821d396b33304f6c" /><Relationship Type="http://schemas.openxmlformats.org/officeDocument/2006/relationships/worksheet" Target="/xl/worksheets/sheet8.xml" Id="R3725d0b6c77b486a" /><Relationship Type="http://schemas.openxmlformats.org/officeDocument/2006/relationships/worksheet" Target="/xl/worksheets/sheet9.xml" Id="Rcdff3cce54d94b10" /></Relationships>
</file>

<file path=xl/tables/table1.xml><?xml version="1.0" encoding="utf-8"?>
<x:table xmlns:x="http://schemas.openxmlformats.org/spreadsheetml/2006/main" id="1" name="ProductMasterTable" displayName="ProductMasterTable" ref="A2:HT200" headerRowCount="1" totalsRowCount="0" totalsRowShown="0">
  <x:tableColumns count="228">
    <x:tableColumn id="1" name="产品ID"/>
    <x:tableColumn id="2" name="SKU编码"/>
    <x:tableColumn id="3" name="型号"/>
    <x:tableColumn id="4" name="中文产品名"/>
    <x:tableColumn id="5" name="英文产品名"/>
    <x:tableColumn id="6" name="产品简称"/>
    <x:tableColumn id="7" name="系列名称"/>
    <x:tableColumn id="8" name="产品版本"/>
    <x:tableColumn id="9" name="产品状态"/>
    <x:tableColumn id="10" name="上市日期"/>
    <x:tableColumn id="11" name="最后更新时间"/>
    <x:tableColumn id="12" name="一级品类"/>
    <x:tableColumn id="13" name="二级品类"/>
    <x:tableColumn id="14" name="三级品类"/>
    <x:tableColumn id="15" name="功能分类"/>
    <x:tableColumn id="16" name="使用分类"/>
    <x:tableColumn id="17" name="场景分类"/>
    <x:tableColumn id="18" name="中文产品描述"/>
    <x:tableColumn id="19" name="英文产品描述"/>
    <x:tableColumn id="20" name="中文短描述"/>
    <x:tableColumn id="21" name="英文短描述"/>
    <x:tableColumn id="22" name="中文产品故事"/>
    <x:tableColumn id="23" name="英文产品故事"/>
    <x:tableColumn id="24" name="中文核心卖点"/>
    <x:tableColumn id="25" name="英文核心卖点"/>
    <x:tableColumn id="26" name="产品亮点"/>
    <x:tableColumn id="27" name="差异化优势"/>
    <x:tableColumn id="28" name="核心功能"/>
    <x:tableColumn id="29" name="次要功能"/>
    <x:tableColumn id="30" name="震动"/>
    <x:tableColumn id="31" name="吸吮"/>
    <x:tableColumn id="32" name="旋转"/>
    <x:tableColumn id="33" name="加热"/>
    <x:tableColumn id="34" name="冷感"/>
    <x:tableColumn id="35" name="压力"/>
    <x:tableColumn id="36" name="脉冲"/>
    <x:tableColumn id="37" name="按摩"/>
    <x:tableColumn id="38" name="运动方式"/>
    <x:tableColumn id="39" name="远程控制"/>
    <x:tableColumn id="40" name="APP控制"/>
    <x:tableColumn id="41" name="智能控制"/>
    <x:tableColumn id="42" name="多功能"/>
    <x:tableColumn id="43" name="双马达"/>
    <x:tableColumn id="44" name="马达类型"/>
    <x:tableColumn id="45" name="模式数量"/>
    <x:tableColumn id="46" name="强度档位"/>
    <x:tableColumn id="47" name="使用方式"/>
    <x:tableColumn id="48" name="外部使用"/>
    <x:tableColumn id="49" name="内部使用"/>
    <x:tableColumn id="50" name="穿戴式"/>
    <x:tableColumn id="51" name="解放双手"/>
    <x:tableColumn id="52" name="单人使用"/>
    <x:tableColumn id="53" name="夫妻使用"/>
    <x:tableColumn id="54" name="新手友好"/>
    <x:tableColumn id="55" name="旅行友好"/>
    <x:tableColumn id="56" name="便携"/>
    <x:tableColumn id="57" name="隐私友好"/>
    <x:tableColumn id="58" name="易清洁"/>
    <x:tableColumn id="59" name="可充电"/>
    <x:tableColumn id="60" name="一次性"/>
    <x:tableColumn id="61" name="目标性别"/>
    <x:tableColumn id="62" name="目标年龄"/>
    <x:tableColumn id="63" name="目标人群"/>
    <x:tableColumn id="64" name="新手"/>
    <x:tableColumn id="65" name="进阶用户"/>
    <x:tableColumn id="66" name="高端用户"/>
    <x:tableColumn id="67" name="大众市场"/>
    <x:tableColumn id="68" name="礼品购买者"/>
    <x:tableColumn id="69" name="夫妻用户"/>
    <x:tableColumn id="70" name="健康生活方式用户"/>
    <x:tableColumn id="71" name="设计风格"/>
    <x:tableColumn id="72" name="视觉风格"/>
    <x:tableColumn id="73" name="造型语言"/>
    <x:tableColumn id="74" name="色彩风格"/>
    <x:tableColumn id="75" name="包装风格"/>
    <x:tableColumn id="76" name="设计关键词"/>
    <x:tableColumn id="77" name="审美定位"/>
    <x:tableColumn id="78" name="品牌表达"/>
    <x:tableColumn id="79" name="视觉复杂度"/>
    <x:tableColumn id="80" name="感知价值"/>
    <x:tableColumn id="81" name="主要材质"/>
    <x:tableColumn id="82" name="表面材质"/>
    <x:tableColumn id="83" name="硅胶类型"/>
    <x:tableColumn id="84" name="硬度"/>
    <x:tableColumn id="85" name="表面触感"/>
    <x:tableColumn id="86" name="表面处理"/>
    <x:tableColumn id="87" name="材质认证"/>
    <x:tableColumn id="88" name="产品长度"/>
    <x:tableColumn id="89" name="产品宽度"/>
    <x:tableColumn id="90" name="产品高度"/>
    <x:tableColumn id="91" name="产品直径"/>
    <x:tableColumn id="92" name="净重"/>
    <x:tableColumn id="93" name="毛重"/>
    <x:tableColumn id="94" name="包装长度"/>
    <x:tableColumn id="95" name="包装宽度"/>
    <x:tableColumn id="96" name="包装高度"/>
    <x:tableColumn id="97" name="技术类型"/>
    <x:tableColumn id="98" name="马达系统"/>
    <x:tableColumn id="99" name="控制系统"/>
    <x:tableColumn id="100" name="控制距离"/>
    <x:tableColumn id="101" name="频率"/>
    <x:tableColumn id="102" name="振幅"/>
    <x:tableColumn id="103" name="噪音"/>
    <x:tableColumn id="104" name="工作时间"/>
    <x:tableColumn id="105" name="充电时间"/>
    <x:tableColumn id="106" name="待机时间"/>
    <x:tableColumn id="107" name="显示方式"/>
    <x:tableColumn id="108" name="指示方式"/>
    <x:tableColumn id="109" name="电池类型"/>
    <x:tableColumn id="110" name="电池容量"/>
    <x:tableColumn id="111" name="电压"/>
    <x:tableColumn id="112" name="输入电压"/>
    <x:tableColumn id="113" name="充电方式"/>
    <x:tableColumn id="114" name="充电接口"/>
    <x:tableColumn id="115" name="USB"/>
    <x:tableColumn id="116" name="无线充电"/>
    <x:tableColumn id="117" name="功率"/>
    <x:tableColumn id="118" name="防水等级"/>
    <x:tableColumn id="119" name="包装类型"/>
    <x:tableColumn id="120" name="包装材料"/>
    <x:tableColumn id="121" name="包装颜色"/>
    <x:tableColumn id="122" name="包装尺寸"/>
    <x:tableColumn id="123" name="内包装"/>
    <x:tableColumn id="124" name="外包装"/>
    <x:tableColumn id="125" name="礼盒包装"/>
    <x:tableColumn id="126" name="定制包装"/>
    <x:tableColumn id="127" name="包装语言"/>
    <x:tableColumn id="128" name="说明书语言"/>
    <x:tableColumn id="129" name="工厂价格"/>
    <x:tableColumn id="130" name="批发价格"/>
    <x:tableColumn id="131" name="建议零售价"/>
    <x:tableColumn id="132" name="目标零售价"/>
    <x:tableColumn id="133" name="价格等级"/>
    <x:tableColumn id="134" name="利润等级"/>
    <x:tableColumn id="135" name="起订量"/>
    <x:tableColumn id="136" name="样品价格"/>
    <x:tableColumn id="137" name="交期"/>
    <x:tableColumn id="138" name="产能"/>
    <x:tableColumn id="139" name="库存状态"/>
    <x:tableColumn id="140" name="目标市场"/>
    <x:tableColumn id="141" name="市场优先级"/>
    <x:tableColumn id="142" name="市场适配"/>
    <x:tableColumn id="143" name="市场状态"/>
    <x:tableColumn id="144" name="市场需求"/>
    <x:tableColumn id="145" name="市场趋势"/>
    <x:tableColumn id="146" name="竞品密度"/>
    <x:tableColumn id="147" name="市场机会"/>
    <x:tableColumn id="148" name="品牌定位"/>
    <x:tableColumn id="149" name="品牌等级"/>
    <x:tableColumn id="150" name="品牌风格"/>
    <x:tableColumn id="151" name="品牌故事"/>
    <x:tableColumn id="152" name="设计语言"/>
    <x:tableColumn id="153" name="品牌关键词"/>
    <x:tableColumn id="154" name="是否支持OEM"/>
    <x:tableColumn id="155" name="是否支持ODM"/>
    <x:tableColumn id="156" name="Logo定制"/>
    <x:tableColumn id="157" name="颜色定制"/>
    <x:tableColumn id="158" name="材料定制"/>
    <x:tableColumn id="159" name="包装定制"/>
    <x:tableColumn id="160" name="功能定制"/>
    <x:tableColumn id="161" name="模具定制"/>
    <x:tableColumn id="162" name="APP定制"/>
    <x:tableColumn id="163" name="固件定制"/>
    <x:tableColumn id="164" name="结构定制"/>
    <x:tableColumn id="165" name="外观定制"/>
    <x:tableColumn id="166" name="定制MOQ"/>
    <x:tableColumn id="167" name="定制交期"/>
    <x:tableColumn id="168" name="主图URL"/>
    <x:tableColumn id="169" name="正面图URL"/>
    <x:tableColumn id="170" name="侧面图URL"/>
    <x:tableColumn id="171" name="细节图URL"/>
    <x:tableColumn id="172" name="包装图URL"/>
    <x:tableColumn id="173" name="场景图URL"/>
    <x:tableColumn id="174" name="卖点图URL"/>
    <x:tableColumn id="175" name="尺寸图URL"/>
    <x:tableColumn id="176" name="说明图URL"/>
    <x:tableColumn id="177" name="产品视频URL"/>
    <x:tableColumn id="178" name="图片数量"/>
    <x:tableColumn id="179" name="媒体质量"/>
    <x:tableColumn id="180" name="品类标签"/>
    <x:tableColumn id="181" name="功能标签"/>
    <x:tableColumn id="182" name="人群标签"/>
    <x:tableColumn id="183" name="风格标签"/>
    <x:tableColumn id="184" name="场景标签"/>
    <x:tableColumn id="185" name="市场标签"/>
    <x:tableColumn id="186" name="价格标签"/>
    <x:tableColumn id="187" name="机会标签"/>
    <x:tableColumn id="188" name="产品定位标签"/>
    <x:tableColumn id="189" name="数据完整度"/>
    <x:tableColumn id="190" name="产品力评分"/>
    <x:tableColumn id="191" name="设计价值评分"/>
    <x:tableColumn id="192" name="功能差异化评分"/>
    <x:tableColumn id="193" name="商业潜力评分"/>
    <x:tableColumn id="194" name="市场适配评分"/>
    <x:tableColumn id="195" name="品牌价值评分"/>
    <x:tableColumn id="196" name="产品智能评分"/>
    <x:tableColumn id="197" name="战略价值评分"/>
    <x:tableColumn id="198" name="产品优先级评分"/>
    <x:tableColumn id="199" name="浏览次数"/>
    <x:tableColumn id="200" name="推荐次数"/>
    <x:tableColumn id="201" name="Proposal次数"/>
    <x:tableColumn id="202" name="分享次数"/>
    <x:tableColumn id="203" name="客户兴趣次数"/>
    <x:tableColumn id="204" name="样品申请次数"/>
    <x:tableColumn id="205" name="报价次数"/>
    <x:tableColumn id="206" name="订单次数"/>
    <x:tableColumn id="207" name="销售金额"/>
    <x:tableColumn id="208" name="转化率"/>
    <x:tableColumn id="209" name="认证"/>
    <x:tableColumn id="210" name="证书编号"/>
    <x:tableColumn id="211" name="测试报告"/>
    <x:tableColumn id="212" name="材料认证URL"/>
    <x:tableColumn id="213" name="市场合规"/>
    <x:tableColumn id="214" name="警告信息"/>
    <x:tableColumn id="215" name="使用说明"/>
    <x:tableColumn id="216" name="年龄要求"/>
    <x:tableColumn id="217" name="推荐客户类型"/>
    <x:tableColumn id="218" name="推荐品牌风格"/>
    <x:tableColumn id="219" name="推荐市场"/>
    <x:tableColumn id="220" name="推荐价格段"/>
    <x:tableColumn id="221" name="推荐品类"/>
    <x:tableColumn id="222" name="适合填补的产品空缺"/>
    <x:tableColumn id="223" name="推荐理由中文"/>
    <x:tableColumn id="224" name="推荐理由英文"/>
    <x:tableColumn id="225" name="推荐场景"/>
    <x:tableColumn id="226" name="交叉销售产品"/>
    <x:tableColumn id="227" name="升级推荐产品"/>
    <x:tableColumn id="228" name="替代产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63003d33a340ea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5" hidden="0" customWidth="1"/>
    <x:col min="4" max="4" width="24" hidden="0" customWidth="1"/>
    <x:col min="5" max="5" width="3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34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34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15" hidden="0" customWidth="1"/>
    <x:col min="147" max="147" width="15" hidden="0" customWidth="1"/>
    <x:col min="148" max="148" width="15" hidden="0" customWidth="1"/>
    <x:col min="149" max="149" width="15" hidden="0" customWidth="1"/>
    <x:col min="150" max="150" width="15" hidden="0" customWidth="1"/>
    <x:col min="151" max="151" width="15" hidden="0" customWidth="1"/>
    <x:col min="152" max="152" width="15" hidden="0" customWidth="1"/>
    <x:col min="153" max="153" width="15" hidden="0" customWidth="1"/>
    <x:col min="154" max="154" width="15" hidden="0" customWidth="1"/>
    <x:col min="155" max="155" width="15" hidden="0" customWidth="1"/>
    <x:col min="156" max="156" width="15" hidden="0" customWidth="1"/>
    <x:col min="157" max="157" width="15" hidden="0" customWidth="1"/>
    <x:col min="158" max="158" width="15" hidden="0" customWidth="1"/>
    <x:col min="159" max="159" width="15" hidden="0" customWidth="1"/>
    <x:col min="160" max="160" width="15" hidden="0" customWidth="1"/>
    <x:col min="161" max="161" width="15" hidden="0" customWidth="1"/>
    <x:col min="162" max="162" width="15" hidden="0" customWidth="1"/>
    <x:col min="163" max="163" width="15" hidden="0" customWidth="1"/>
    <x:col min="164" max="164" width="15" hidden="0" customWidth="1"/>
    <x:col min="165" max="165" width="15" hidden="0" customWidth="1"/>
    <x:col min="166" max="166" width="15" hidden="0" customWidth="1"/>
    <x:col min="167" max="167" width="15" hidden="0" customWidth="1"/>
    <x:col min="168" max="168" width="32" hidden="0" customWidth="1"/>
    <x:col min="169" max="169" width="15" hidden="0" customWidth="1"/>
    <x:col min="170" max="170" width="15" hidden="0" customWidth="1"/>
    <x:col min="171" max="171" width="15" hidden="0" customWidth="1"/>
    <x:col min="172" max="172" width="15" hidden="0" customWidth="1"/>
    <x:col min="173" max="173" width="15" hidden="0" customWidth="1"/>
    <x:col min="174" max="174" width="15" hidden="0" customWidth="1"/>
    <x:col min="175" max="175" width="15" hidden="0" customWidth="1"/>
    <x:col min="176" max="176" width="15" hidden="0" customWidth="1"/>
    <x:col min="177" max="177" width="15" hidden="0" customWidth="1"/>
    <x:col min="178" max="178" width="15" hidden="0" customWidth="1"/>
    <x:col min="179" max="179" width="15" hidden="0" customWidth="1"/>
    <x:col min="180" max="180" width="15" hidden="0" customWidth="1"/>
    <x:col min="181" max="181" width="15" hidden="0" customWidth="1"/>
    <x:col min="182" max="182" width="15" hidden="0" customWidth="1"/>
    <x:col min="183" max="183" width="15" hidden="0" customWidth="1"/>
    <x:col min="184" max="184" width="15" hidden="0" customWidth="1"/>
    <x:col min="185" max="185" width="15" hidden="0" customWidth="1"/>
    <x:col min="186" max="186" width="15" hidden="0" customWidth="1"/>
    <x:col min="187" max="187" width="15" hidden="0" customWidth="1"/>
    <x:col min="188" max="188" width="15" hidden="0" customWidth="1"/>
    <x:col min="189" max="189" width="15" hidden="0" customWidth="1"/>
    <x:col min="190" max="190" width="15" hidden="0" customWidth="1"/>
    <x:col min="191" max="191" width="15" hidden="0" customWidth="1"/>
    <x:col min="192" max="192" width="15" hidden="0" customWidth="1"/>
    <x:col min="193" max="193" width="15" hidden="0" customWidth="1"/>
    <x:col min="194" max="194" width="15" hidden="0" customWidth="1"/>
    <x:col min="195" max="195" width="15" hidden="0" customWidth="1"/>
    <x:col min="196" max="196" width="15" hidden="0" customWidth="1"/>
    <x:col min="197" max="197" width="15" hidden="0" customWidth="1"/>
    <x:col min="198" max="198" width="15" hidden="0" customWidth="1"/>
    <x:col min="199" max="199" width="15" hidden="0" customWidth="1"/>
    <x:col min="200" max="200" width="15" hidden="0" customWidth="1"/>
    <x:col min="201" max="201" width="15" hidden="0" customWidth="1"/>
    <x:col min="202" max="202" width="15" hidden="0" customWidth="1"/>
    <x:col min="203" max="203" width="15" hidden="0" customWidth="1"/>
    <x:col min="204" max="204" width="15" hidden="0" customWidth="1"/>
    <x:col min="205" max="205" width="15" hidden="0" customWidth="1"/>
    <x:col min="206" max="206" width="15" hidden="0" customWidth="1"/>
    <x:col min="207" max="207" width="15" hidden="0" customWidth="1"/>
    <x:col min="208" max="208" width="15" hidden="0" customWidth="1"/>
    <x:col min="209" max="209" width="15" hidden="0" customWidth="1"/>
    <x:col min="210" max="210" width="15" hidden="0" customWidth="1"/>
    <x:col min="211" max="211" width="15" hidden="0" customWidth="1"/>
    <x:col min="212" max="212" width="15" hidden="0" customWidth="1"/>
    <x:col min="213" max="213" width="15" hidden="0" customWidth="1"/>
    <x:col min="214" max="214" width="15" hidden="0" customWidth="1"/>
    <x:col min="215" max="215" width="15" hidden="0" customWidth="1"/>
    <x:col min="216" max="216" width="15" hidden="0" customWidth="1"/>
    <x:col min="217" max="217" width="15" hidden="0" customWidth="1"/>
    <x:col min="218" max="218" width="15" hidden="0" customWidth="1"/>
    <x:col min="219" max="219" width="15" hidden="0" customWidth="1"/>
    <x:col min="220" max="220" width="15" hidden="0" customWidth="1"/>
    <x:col min="221" max="221" width="15" hidden="0" customWidth="1"/>
    <x:col min="222" max="222" width="15" hidden="0" customWidth="1"/>
    <x:col min="223" max="223" width="15" hidden="0" customWidth="1"/>
    <x:col min="224" max="224" width="40" hidden="0" customWidth="1"/>
    <x:col min="225" max="225" width="15" hidden="0" customWidth="1"/>
    <x:col min="226" max="226" width="15" hidden="0" customWidth="1"/>
    <x:col min="227" max="227" width="15" hidden="0" customWidth="1"/>
    <x:col min="228" max="228" width="15" hidden="0" customWidth="1"/>
  </x:cols>
  <x:sheetData>
    <x:row r="1" ht="34" customHeight="1">
      <x:c r="A1" s="6" t="str">
        <x:v>product_id</x:v>
      </x:c>
      <x:c r="B1" s="6" t="str">
        <x:v>sku</x:v>
      </x:c>
      <x:c r="C1" s="6" t="str">
        <x:v>model_number</x:v>
      </x:c>
      <x:c r="D1" s="6" t="str">
        <x:v>product_name_cn</x:v>
      </x:c>
      <x:c r="E1" s="6" t="str">
        <x:v>product_name_en</x:v>
      </x:c>
      <x:c r="F1" s="6" t="str">
        <x:v>short_name</x:v>
      </x:c>
      <x:c r="G1" s="6" t="str">
        <x:v>series_name</x:v>
      </x:c>
      <x:c r="H1" s="6" t="str">
        <x:v>product_version</x:v>
      </x:c>
      <x:c r="I1" s="6" t="str">
        <x:v>product_status</x:v>
      </x:c>
      <x:c r="J1" s="6" t="str">
        <x:v>launch_date</x:v>
      </x:c>
      <x:c r="K1" s="6" t="str">
        <x:v>update_date</x:v>
      </x:c>
      <x:c r="L1" s="6" t="str">
        <x:v>primary_category</x:v>
      </x:c>
      <x:c r="M1" s="6" t="str">
        <x:v>secondary_category</x:v>
      </x:c>
      <x:c r="N1" s="6" t="str">
        <x:v>tertiary_category</x:v>
      </x:c>
      <x:c r="O1" s="6" t="str">
        <x:v>functional_category</x:v>
      </x:c>
      <x:c r="P1" s="6" t="str">
        <x:v>usage_category</x:v>
      </x:c>
      <x:c r="Q1" s="6" t="str">
        <x:v>scenario_category</x:v>
      </x:c>
      <x:c r="R1" s="6" t="str">
        <x:v>description_cn</x:v>
      </x:c>
      <x:c r="S1" s="6" t="str">
        <x:v>description_en</x:v>
      </x:c>
      <x:c r="T1" s="6" t="str">
        <x:v>short_description_cn</x:v>
      </x:c>
      <x:c r="U1" s="6" t="str">
        <x:v>short_description_en</x:v>
      </x:c>
      <x:c r="V1" s="6" t="str">
        <x:v>product_story_cn</x:v>
      </x:c>
      <x:c r="W1" s="6" t="str">
        <x:v>product_story_en</x:v>
      </x:c>
      <x:c r="X1" s="6" t="str">
        <x:v>key_selling_point_cn</x:v>
      </x:c>
      <x:c r="Y1" s="6" t="str">
        <x:v>key_selling_point_en</x:v>
      </x:c>
      <x:c r="Z1" s="6" t="str">
        <x:v>product_highlights</x:v>
      </x:c>
      <x:c r="AA1" s="6" t="str">
        <x:v>differentiation</x:v>
      </x:c>
      <x:c r="AB1" s="6" t="str">
        <x:v>primary_function</x:v>
      </x:c>
      <x:c r="AC1" s="6" t="str">
        <x:v>secondary_functions</x:v>
      </x:c>
      <x:c r="AD1" s="6" t="str">
        <x:v>vibration</x:v>
      </x:c>
      <x:c r="AE1" s="6" t="str">
        <x:v>suction</x:v>
      </x:c>
      <x:c r="AF1" s="6" t="str">
        <x:v>rotation</x:v>
      </x:c>
      <x:c r="AG1" s="6" t="str">
        <x:v>heating</x:v>
      </x:c>
      <x:c r="AH1" s="6" t="str">
        <x:v>cooling</x:v>
      </x:c>
      <x:c r="AI1" s="6" t="str">
        <x:v>pressure</x:v>
      </x:c>
      <x:c r="AJ1" s="6" t="str">
        <x:v>pulsation</x:v>
      </x:c>
      <x:c r="AK1" s="6" t="str">
        <x:v>massage</x:v>
      </x:c>
      <x:c r="AL1" s="6" t="str">
        <x:v>movement</x:v>
      </x:c>
      <x:c r="AM1" s="6" t="str">
        <x:v>remote_control</x:v>
      </x:c>
      <x:c r="AN1" s="6" t="str">
        <x:v>app_control</x:v>
      </x:c>
      <x:c r="AO1" s="6" t="str">
        <x:v>smart_control</x:v>
      </x:c>
      <x:c r="AP1" s="6" t="str">
        <x:v>multi_function</x:v>
      </x:c>
      <x:c r="AQ1" s="6" t="str">
        <x:v>dual_motor</x:v>
      </x:c>
      <x:c r="AR1" s="6" t="str">
        <x:v>motor_type</x:v>
      </x:c>
      <x:c r="AS1" s="6" t="str">
        <x:v>mode_count</x:v>
      </x:c>
      <x:c r="AT1" s="6" t="str">
        <x:v>intensity_levels</x:v>
      </x:c>
      <x:c r="AU1" s="6" t="str">
        <x:v>usage_type</x:v>
      </x:c>
      <x:c r="AV1" s="6" t="str">
        <x:v>external_use</x:v>
      </x:c>
      <x:c r="AW1" s="6" t="str">
        <x:v>internal_use</x:v>
      </x:c>
      <x:c r="AX1" s="6" t="str">
        <x:v>wearable</x:v>
      </x:c>
      <x:c r="AY1" s="6" t="str">
        <x:v>hands_free</x:v>
      </x:c>
      <x:c r="AZ1" s="6" t="str">
        <x:v>solo_use</x:v>
      </x:c>
      <x:c r="BA1" s="6" t="str">
        <x:v>couples_use</x:v>
      </x:c>
      <x:c r="BB1" s="6" t="str">
        <x:v>beginner_friendly</x:v>
      </x:c>
      <x:c r="BC1" s="6" t="str">
        <x:v>travel_friendly</x:v>
      </x:c>
      <x:c r="BD1" s="6" t="str">
        <x:v>portable</x:v>
      </x:c>
      <x:c r="BE1" s="6" t="str">
        <x:v>discreet</x:v>
      </x:c>
      <x:c r="BF1" s="6" t="str">
        <x:v>easy_to_clean</x:v>
      </x:c>
      <x:c r="BG1" s="6" t="str">
        <x:v>rechargeable</x:v>
      </x:c>
      <x:c r="BH1" s="6" t="str">
        <x:v>disposable</x:v>
      </x:c>
      <x:c r="BI1" s="6" t="str">
        <x:v>target_gender</x:v>
      </x:c>
      <x:c r="BJ1" s="6" t="str">
        <x:v>target_age</x:v>
      </x:c>
      <x:c r="BK1" s="6" t="str">
        <x:v>target_segment</x:v>
      </x:c>
      <x:c r="BL1" s="6" t="str">
        <x:v>beginner</x:v>
      </x:c>
      <x:c r="BM1" s="6" t="str">
        <x:v>advanced_user</x:v>
      </x:c>
      <x:c r="BN1" s="6" t="str">
        <x:v>premium_user</x:v>
      </x:c>
      <x:c r="BO1" s="6" t="str">
        <x:v>mass_market</x:v>
      </x:c>
      <x:c r="BP1" s="6" t="str">
        <x:v>gift_buyer</x:v>
      </x:c>
      <x:c r="BQ1" s="6" t="str">
        <x:v>couple_user</x:v>
      </x:c>
      <x:c r="BR1" s="6" t="str">
        <x:v>wellness_user</x:v>
      </x:c>
      <x:c r="BS1" s="6" t="str">
        <x:v>design_style</x:v>
      </x:c>
      <x:c r="BT1" s="6" t="str">
        <x:v>visual_style</x:v>
      </x:c>
      <x:c r="BU1" s="6" t="str">
        <x:v>form_language</x:v>
      </x:c>
      <x:c r="BV1" s="6" t="str">
        <x:v>color_style</x:v>
      </x:c>
      <x:c r="BW1" s="6" t="str">
        <x:v>packaging_style</x:v>
      </x:c>
      <x:c r="BX1" s="6" t="str">
        <x:v>design_keywords</x:v>
      </x:c>
      <x:c r="BY1" s="6" t="str">
        <x:v>aesthetic_positioning</x:v>
      </x:c>
      <x:c r="BZ1" s="6" t="str">
        <x:v>brand_expression</x:v>
      </x:c>
      <x:c r="CA1" s="6" t="str">
        <x:v>visual_complexity</x:v>
      </x:c>
      <x:c r="CB1" s="6" t="str">
        <x:v>perceived_value</x:v>
      </x:c>
      <x:c r="CC1" s="6" t="str">
        <x:v>main_material</x:v>
      </x:c>
      <x:c r="CD1" s="6" t="str">
        <x:v>surface_material</x:v>
      </x:c>
      <x:c r="CE1" s="6" t="str">
        <x:v>silicone_type</x:v>
      </x:c>
      <x:c r="CF1" s="6" t="str">
        <x:v>hardness</x:v>
      </x:c>
      <x:c r="CG1" s="6" t="str">
        <x:v>texture</x:v>
      </x:c>
      <x:c r="CH1" s="6" t="str">
        <x:v>coating</x:v>
      </x:c>
      <x:c r="CI1" s="6" t="str">
        <x:v>material_certification</x:v>
      </x:c>
      <x:c r="CJ1" s="6" t="str">
        <x:v>product_length</x:v>
      </x:c>
      <x:c r="CK1" s="6" t="str">
        <x:v>product_width</x:v>
      </x:c>
      <x:c r="CL1" s="6" t="str">
        <x:v>product_height</x:v>
      </x:c>
      <x:c r="CM1" s="6" t="str">
        <x:v>product_diameter</x:v>
      </x:c>
      <x:c r="CN1" s="6" t="str">
        <x:v>net_weight</x:v>
      </x:c>
      <x:c r="CO1" s="6" t="str">
        <x:v>gross_weight</x:v>
      </x:c>
      <x:c r="CP1" s="6" t="str">
        <x:v>package_length</x:v>
      </x:c>
      <x:c r="CQ1" s="6" t="str">
        <x:v>package_width</x:v>
      </x:c>
      <x:c r="CR1" s="6" t="str">
        <x:v>package_height</x:v>
      </x:c>
      <x:c r="CS1" s="6" t="str">
        <x:v>technology</x:v>
      </x:c>
      <x:c r="CT1" s="6" t="str">
        <x:v>motor_system</x:v>
      </x:c>
      <x:c r="CU1" s="6" t="str">
        <x:v>control_system</x:v>
      </x:c>
      <x:c r="CV1" s="6" t="str">
        <x:v>control_distance</x:v>
      </x:c>
      <x:c r="CW1" s="6" t="str">
        <x:v>frequency</x:v>
      </x:c>
      <x:c r="CX1" s="6" t="str">
        <x:v>amplitude</x:v>
      </x:c>
      <x:c r="CY1" s="6" t="str">
        <x:v>noise_level</x:v>
      </x:c>
      <x:c r="CZ1" s="6" t="str">
        <x:v>working_time</x:v>
      </x:c>
      <x:c r="DA1" s="6" t="str">
        <x:v>charging_time</x:v>
      </x:c>
      <x:c r="DB1" s="6" t="str">
        <x:v>standby_time</x:v>
      </x:c>
      <x:c r="DC1" s="6" t="str">
        <x:v>display</x:v>
      </x:c>
      <x:c r="DD1" s="6" t="str">
        <x:v>indicator</x:v>
      </x:c>
      <x:c r="DE1" s="6" t="str">
        <x:v>battery_type</x:v>
      </x:c>
      <x:c r="DF1" s="6" t="str">
        <x:v>battery_capacity</x:v>
      </x:c>
      <x:c r="DG1" s="6" t="str">
        <x:v>voltage</x:v>
      </x:c>
      <x:c r="DH1" s="6" t="str">
        <x:v>input_voltage</x:v>
      </x:c>
      <x:c r="DI1" s="6" t="str">
        <x:v>charging_type</x:v>
      </x:c>
      <x:c r="DJ1" s="6" t="str">
        <x:v>charging_port</x:v>
      </x:c>
      <x:c r="DK1" s="6" t="str">
        <x:v>usb</x:v>
      </x:c>
      <x:c r="DL1" s="6" t="str">
        <x:v>wireless_charging</x:v>
      </x:c>
      <x:c r="DM1" s="6" t="str">
        <x:v>power</x:v>
      </x:c>
      <x:c r="DN1" s="6" t="str">
        <x:v>waterproof_rating</x:v>
      </x:c>
      <x:c r="DO1" s="6" t="str">
        <x:v>packaging_type</x:v>
      </x:c>
      <x:c r="DP1" s="6" t="str">
        <x:v>box_material</x:v>
      </x:c>
      <x:c r="DQ1" s="6" t="str">
        <x:v>box_color</x:v>
      </x:c>
      <x:c r="DR1" s="6" t="str">
        <x:v>box_size</x:v>
      </x:c>
      <x:c r="DS1" s="6" t="str">
        <x:v>inner_packaging</x:v>
      </x:c>
      <x:c r="DT1" s="6" t="str">
        <x:v>outer_packaging</x:v>
      </x:c>
      <x:c r="DU1" s="6" t="str">
        <x:v>gift_packaging</x:v>
      </x:c>
      <x:c r="DV1" s="6" t="str">
        <x:v>custom_packaging</x:v>
      </x:c>
      <x:c r="DW1" s="6" t="str">
        <x:v>language_packaging</x:v>
      </x:c>
      <x:c r="DX1" s="6" t="str">
        <x:v>manual_language</x:v>
      </x:c>
      <x:c r="DY1" s="6" t="str">
        <x:v>factory_price</x:v>
      </x:c>
      <x:c r="DZ1" s="6" t="str">
        <x:v>wholesale_price</x:v>
      </x:c>
      <x:c r="EA1" s="6" t="str">
        <x:v>suggested_retail_price</x:v>
      </x:c>
      <x:c r="EB1" s="6" t="str">
        <x:v>target_retail_price</x:v>
      </x:c>
      <x:c r="EC1" s="6" t="str">
        <x:v>price_level</x:v>
      </x:c>
      <x:c r="ED1" s="6" t="str">
        <x:v>margin_level</x:v>
      </x:c>
      <x:c r="EE1" s="6" t="str">
        <x:v>moq</x:v>
      </x:c>
      <x:c r="EF1" s="6" t="str">
        <x:v>sample_price</x:v>
      </x:c>
      <x:c r="EG1" s="6" t="str">
        <x:v>lead_time</x:v>
      </x:c>
      <x:c r="EH1" s="6" t="str">
        <x:v>production_capacity</x:v>
      </x:c>
      <x:c r="EI1" s="6" t="str">
        <x:v>stock_status</x:v>
      </x:c>
      <x:c r="EJ1" s="6" t="str">
        <x:v>target_market</x:v>
      </x:c>
      <x:c r="EK1" s="6" t="str">
        <x:v>market_priority</x:v>
      </x:c>
      <x:c r="EL1" s="6" t="str">
        <x:v>market_fit</x:v>
      </x:c>
      <x:c r="EM1" s="6" t="str">
        <x:v>market_status</x:v>
      </x:c>
      <x:c r="EN1" s="6" t="str">
        <x:v>market_demand</x:v>
      </x:c>
      <x:c r="EO1" s="6" t="str">
        <x:v>market_trend</x:v>
      </x:c>
      <x:c r="EP1" s="6" t="str">
        <x:v>competitor_density</x:v>
      </x:c>
      <x:c r="EQ1" s="6" t="str">
        <x:v>market_opportunity</x:v>
      </x:c>
      <x:c r="ER1" s="6" t="str">
        <x:v>brand_positioning</x:v>
      </x:c>
      <x:c r="ES1" s="6" t="str">
        <x:v>brand_level</x:v>
      </x:c>
      <x:c r="ET1" s="6" t="str">
        <x:v>brand_style</x:v>
      </x:c>
      <x:c r="EU1" s="6" t="str">
        <x:v>brand_story</x:v>
      </x:c>
      <x:c r="EV1" s="6" t="str">
        <x:v>design_language</x:v>
      </x:c>
      <x:c r="EW1" s="6" t="str">
        <x:v>brand_keywords</x:v>
      </x:c>
      <x:c r="EX1" s="6" t="str">
        <x:v>oem_available</x:v>
      </x:c>
      <x:c r="EY1" s="6" t="str">
        <x:v>odm_available</x:v>
      </x:c>
      <x:c r="EZ1" s="6" t="str">
        <x:v>logo_customization</x:v>
      </x:c>
      <x:c r="FA1" s="6" t="str">
        <x:v>color_customization</x:v>
      </x:c>
      <x:c r="FB1" s="6" t="str">
        <x:v>material_customization</x:v>
      </x:c>
      <x:c r="FC1" s="6" t="str">
        <x:v>packaging_customization</x:v>
      </x:c>
      <x:c r="FD1" s="6" t="str">
        <x:v>function_customization</x:v>
      </x:c>
      <x:c r="FE1" s="6" t="str">
        <x:v>mold_customization</x:v>
      </x:c>
      <x:c r="FF1" s="6" t="str">
        <x:v>app_customization</x:v>
      </x:c>
      <x:c r="FG1" s="6" t="str">
        <x:v>firmware_customization</x:v>
      </x:c>
      <x:c r="FH1" s="6" t="str">
        <x:v>structure_customization</x:v>
      </x:c>
      <x:c r="FI1" s="6" t="str">
        <x:v>surface_customization</x:v>
      </x:c>
      <x:c r="FJ1" s="6" t="str">
        <x:v>custom_moq</x:v>
      </x:c>
      <x:c r="FK1" s="6" t="str">
        <x:v>custom_lead_time</x:v>
      </x:c>
      <x:c r="FL1" s="6" t="str">
        <x:v>hero_image_url</x:v>
      </x:c>
      <x:c r="FM1" s="6" t="str">
        <x:v>front_image_url</x:v>
      </x:c>
      <x:c r="FN1" s="6" t="str">
        <x:v>side_image_url</x:v>
      </x:c>
      <x:c r="FO1" s="6" t="str">
        <x:v>detail_image_url</x:v>
      </x:c>
      <x:c r="FP1" s="6" t="str">
        <x:v>packaging_image_url</x:v>
      </x:c>
      <x:c r="FQ1" s="6" t="str">
        <x:v>lifestyle_image_url</x:v>
      </x:c>
      <x:c r="FR1" s="6" t="str">
        <x:v>feature_image_url</x:v>
      </x:c>
      <x:c r="FS1" s="6" t="str">
        <x:v>size_image_url</x:v>
      </x:c>
      <x:c r="FT1" s="6" t="str">
        <x:v>instruction_image_url</x:v>
      </x:c>
      <x:c r="FU1" s="6" t="str">
        <x:v>video_url</x:v>
      </x:c>
      <x:c r="FV1" s="6" t="str">
        <x:v>image_count</x:v>
      </x:c>
      <x:c r="FW1" s="6" t="str">
        <x:v>media_quality</x:v>
      </x:c>
      <x:c r="FX1" s="6" t="str">
        <x:v>category_tags</x:v>
      </x:c>
      <x:c r="FY1" s="6" t="str">
        <x:v>function_tags</x:v>
      </x:c>
      <x:c r="FZ1" s="6" t="str">
        <x:v>audience_tags</x:v>
      </x:c>
      <x:c r="GA1" s="6" t="str">
        <x:v>style_tags</x:v>
      </x:c>
      <x:c r="GB1" s="6" t="str">
        <x:v>scenario_tags</x:v>
      </x:c>
      <x:c r="GC1" s="6" t="str">
        <x:v>market_tags</x:v>
      </x:c>
      <x:c r="GD1" s="6" t="str">
        <x:v>price_tags</x:v>
      </x:c>
      <x:c r="GE1" s="6" t="str">
        <x:v>opportunity_tags</x:v>
      </x:c>
      <x:c r="GF1" s="6" t="str">
        <x:v>positioning_tags</x:v>
      </x:c>
      <x:c r="GG1" s="6" t="str">
        <x:v>data_completeness</x:v>
      </x:c>
      <x:c r="GH1" s="6" t="str">
        <x:v>product_quality_score</x:v>
      </x:c>
      <x:c r="GI1" s="6" t="str">
        <x:v>design_value_score</x:v>
      </x:c>
      <x:c r="GJ1" s="6" t="str">
        <x:v>functional_diff_score</x:v>
      </x:c>
      <x:c r="GK1" s="6" t="str">
        <x:v>commercial_potential_score</x:v>
      </x:c>
      <x:c r="GL1" s="6" t="str">
        <x:v>market_adaptability_score</x:v>
      </x:c>
      <x:c r="GM1" s="6" t="str">
        <x:v>brand_value_score</x:v>
      </x:c>
      <x:c r="GN1" s="6" t="str">
        <x:v>product_intelligence_score</x:v>
      </x:c>
      <x:c r="GO1" s="6" t="str">
        <x:v>strategic_value_score</x:v>
      </x:c>
      <x:c r="GP1" s="6" t="str">
        <x:v>product_priority_score</x:v>
      </x:c>
      <x:c r="GQ1" s="6" t="str">
        <x:v>view_count</x:v>
      </x:c>
      <x:c r="GR1" s="6" t="str">
        <x:v>recommend_count</x:v>
      </x:c>
      <x:c r="GS1" s="6" t="str">
        <x:v>proposal_count</x:v>
      </x:c>
      <x:c r="GT1" s="6" t="str">
        <x:v>share_count</x:v>
      </x:c>
      <x:c r="GU1" s="6" t="str">
        <x:v>client_interest_count</x:v>
      </x:c>
      <x:c r="GV1" s="6" t="str">
        <x:v>sample_request_count</x:v>
      </x:c>
      <x:c r="GW1" s="6" t="str">
        <x:v>quotation_count</x:v>
      </x:c>
      <x:c r="GX1" s="6" t="str">
        <x:v>order_count</x:v>
      </x:c>
      <x:c r="GY1" s="6" t="str">
        <x:v>sales_amount</x:v>
      </x:c>
      <x:c r="GZ1" s="6" t="str">
        <x:v>conversion_rate</x:v>
      </x:c>
      <x:c r="HA1" s="6" t="str">
        <x:v>certification</x:v>
      </x:c>
      <x:c r="HB1" s="6" t="str">
        <x:v>certificate_number</x:v>
      </x:c>
      <x:c r="HC1" s="6" t="str">
        <x:v>test_report</x:v>
      </x:c>
      <x:c r="HD1" s="6" t="str">
        <x:v>material_certification_url</x:v>
      </x:c>
      <x:c r="HE1" s="6" t="str">
        <x:v>market_compliance</x:v>
      </x:c>
      <x:c r="HF1" s="6" t="str">
        <x:v>warning</x:v>
      </x:c>
      <x:c r="HG1" s="6" t="str">
        <x:v>usage_instruction</x:v>
      </x:c>
      <x:c r="HH1" s="6" t="str">
        <x:v>age_requirement</x:v>
      </x:c>
      <x:c r="HI1" s="6" t="str">
        <x:v>recommended_customer_type</x:v>
      </x:c>
      <x:c r="HJ1" s="6" t="str">
        <x:v>recommended_brand_style</x:v>
      </x:c>
      <x:c r="HK1" s="6" t="str">
        <x:v>recommended_market</x:v>
      </x:c>
      <x:c r="HL1" s="6" t="str">
        <x:v>recommended_price_segment</x:v>
      </x:c>
      <x:c r="HM1" s="6" t="str">
        <x:v>recommended_category</x:v>
      </x:c>
      <x:c r="HN1" s="6" t="str">
        <x:v>recommended_product_gap</x:v>
      </x:c>
      <x:c r="HO1" s="6" t="str">
        <x:v>recommended_reason_cn</x:v>
      </x:c>
      <x:c r="HP1" s="6" t="str">
        <x:v>recommended_reason_en</x:v>
      </x:c>
      <x:c r="HQ1" s="6" t="str">
        <x:v>recommended_scenario</x:v>
      </x:c>
      <x:c r="HR1" s="6" t="str">
        <x:v>cross_sell_products</x:v>
      </x:c>
      <x:c r="HS1" s="6" t="str">
        <x:v>upsell_products</x:v>
      </x:c>
      <x:c r="HT1" s="6" t="str">
        <x:v>alternative_products</x:v>
      </x:c>
    </x:row>
    <x:row r="2" ht="34" customHeight="1">
      <x:c r="A2" s="16" t="str">
        <x:v>产品ID</x:v>
      </x:c>
      <x:c r="B2" s="16" t="str">
        <x:v>SKU编码</x:v>
      </x:c>
      <x:c r="C2" s="16" t="str">
        <x:v>型号</x:v>
      </x:c>
      <x:c r="D2" s="16" t="str">
        <x:v>中文产品名</x:v>
      </x:c>
      <x:c r="E2" s="16" t="str">
        <x:v>英文产品名</x:v>
      </x:c>
      <x:c r="F2" s="16" t="str">
        <x:v>产品简称</x:v>
      </x:c>
      <x:c r="G2" s="16" t="str">
        <x:v>系列名称</x:v>
      </x:c>
      <x:c r="H2" s="16" t="str">
        <x:v>产品版本</x:v>
      </x:c>
      <x:c r="I2" s="16" t="str">
        <x:v>产品状态</x:v>
      </x:c>
      <x:c r="J2" s="16" t="str">
        <x:v>上市日期</x:v>
      </x:c>
      <x:c r="K2" s="16" t="str">
        <x:v>最后更新时间</x:v>
      </x:c>
      <x:c r="L2" s="16" t="str">
        <x:v>一级品类</x:v>
      </x:c>
      <x:c r="M2" s="16" t="str">
        <x:v>二级品类</x:v>
      </x:c>
      <x:c r="N2" s="16" t="str">
        <x:v>三级品类</x:v>
      </x:c>
      <x:c r="O2" s="16" t="str">
        <x:v>功能分类</x:v>
      </x:c>
      <x:c r="P2" s="16" t="str">
        <x:v>使用分类</x:v>
      </x:c>
      <x:c r="Q2" s="16" t="str">
        <x:v>场景分类</x:v>
      </x:c>
      <x:c r="R2" s="16" t="str">
        <x:v>中文产品描述</x:v>
      </x:c>
      <x:c r="S2" s="16" t="str">
        <x:v>英文产品描述</x:v>
      </x:c>
      <x:c r="T2" s="16" t="str">
        <x:v>中文短描述</x:v>
      </x:c>
      <x:c r="U2" s="16" t="str">
        <x:v>英文短描述</x:v>
      </x:c>
      <x:c r="V2" s="16" t="str">
        <x:v>中文产品故事</x:v>
      </x:c>
      <x:c r="W2" s="16" t="str">
        <x:v>英文产品故事</x:v>
      </x:c>
      <x:c r="X2" s="16" t="str">
        <x:v>中文核心卖点</x:v>
      </x:c>
      <x:c r="Y2" s="16" t="str">
        <x:v>英文核心卖点</x:v>
      </x:c>
      <x:c r="Z2" s="16" t="str">
        <x:v>产品亮点</x:v>
      </x:c>
      <x:c r="AA2" s="16" t="str">
        <x:v>差异化优势</x:v>
      </x:c>
      <x:c r="AB2" s="16" t="str">
        <x:v>核心功能</x:v>
      </x:c>
      <x:c r="AC2" s="16" t="str">
        <x:v>次要功能</x:v>
      </x:c>
      <x:c r="AD2" s="16" t="str">
        <x:v>震动</x:v>
      </x:c>
      <x:c r="AE2" s="16" t="str">
        <x:v>吸吮</x:v>
      </x:c>
      <x:c r="AF2" s="16" t="str">
        <x:v>旋转</x:v>
      </x:c>
      <x:c r="AG2" s="16" t="str">
        <x:v>加热</x:v>
      </x:c>
      <x:c r="AH2" s="16" t="str">
        <x:v>冷感</x:v>
      </x:c>
      <x:c r="AI2" s="16" t="str">
        <x:v>压力</x:v>
      </x:c>
      <x:c r="AJ2" s="16" t="str">
        <x:v>脉冲</x:v>
      </x:c>
      <x:c r="AK2" s="16" t="str">
        <x:v>按摩</x:v>
      </x:c>
      <x:c r="AL2" s="16" t="str">
        <x:v>运动方式</x:v>
      </x:c>
      <x:c r="AM2" s="16" t="str">
        <x:v>远程控制</x:v>
      </x:c>
      <x:c r="AN2" s="16" t="str">
        <x:v>APP控制</x:v>
      </x:c>
      <x:c r="AO2" s="16" t="str">
        <x:v>智能控制</x:v>
      </x:c>
      <x:c r="AP2" s="16" t="str">
        <x:v>多功能</x:v>
      </x:c>
      <x:c r="AQ2" s="16" t="str">
        <x:v>双马达</x:v>
      </x:c>
      <x:c r="AR2" s="16" t="str">
        <x:v>马达类型</x:v>
      </x:c>
      <x:c r="AS2" s="16" t="str">
        <x:v>模式数量</x:v>
      </x:c>
      <x:c r="AT2" s="16" t="str">
        <x:v>强度档位</x:v>
      </x:c>
      <x:c r="AU2" s="16" t="str">
        <x:v>使用方式</x:v>
      </x:c>
      <x:c r="AV2" s="16" t="str">
        <x:v>外部使用</x:v>
      </x:c>
      <x:c r="AW2" s="16" t="str">
        <x:v>内部使用</x:v>
      </x:c>
      <x:c r="AX2" s="16" t="str">
        <x:v>穿戴式</x:v>
      </x:c>
      <x:c r="AY2" s="16" t="str">
        <x:v>解放双手</x:v>
      </x:c>
      <x:c r="AZ2" s="16" t="str">
        <x:v>单人使用</x:v>
      </x:c>
      <x:c r="BA2" s="16" t="str">
        <x:v>夫妻使用</x:v>
      </x:c>
      <x:c r="BB2" s="16" t="str">
        <x:v>新手友好</x:v>
      </x:c>
      <x:c r="BC2" s="16" t="str">
        <x:v>旅行友好</x:v>
      </x:c>
      <x:c r="BD2" s="16" t="str">
        <x:v>便携</x:v>
      </x:c>
      <x:c r="BE2" s="16" t="str">
        <x:v>隐私友好</x:v>
      </x:c>
      <x:c r="BF2" s="16" t="str">
        <x:v>易清洁</x:v>
      </x:c>
      <x:c r="BG2" s="16" t="str">
        <x:v>可充电</x:v>
      </x:c>
      <x:c r="BH2" s="16" t="str">
        <x:v>一次性</x:v>
      </x:c>
      <x:c r="BI2" s="16" t="str">
        <x:v>目标性别</x:v>
      </x:c>
      <x:c r="BJ2" s="16" t="str">
        <x:v>目标年龄</x:v>
      </x:c>
      <x:c r="BK2" s="16" t="str">
        <x:v>目标人群</x:v>
      </x:c>
      <x:c r="BL2" s="16" t="str">
        <x:v>新手</x:v>
      </x:c>
      <x:c r="BM2" s="16" t="str">
        <x:v>进阶用户</x:v>
      </x:c>
      <x:c r="BN2" s="16" t="str">
        <x:v>高端用户</x:v>
      </x:c>
      <x:c r="BO2" s="16" t="str">
        <x:v>大众市场</x:v>
      </x:c>
      <x:c r="BP2" s="16" t="str">
        <x:v>礼品购买者</x:v>
      </x:c>
      <x:c r="BQ2" s="16" t="str">
        <x:v>夫妻用户</x:v>
      </x:c>
      <x:c r="BR2" s="16" t="str">
        <x:v>健康生活方式用户</x:v>
      </x:c>
      <x:c r="BS2" s="16" t="str">
        <x:v>设计风格</x:v>
      </x:c>
      <x:c r="BT2" s="16" t="str">
        <x:v>视觉风格</x:v>
      </x:c>
      <x:c r="BU2" s="16" t="str">
        <x:v>造型语言</x:v>
      </x:c>
      <x:c r="BV2" s="16" t="str">
        <x:v>色彩风格</x:v>
      </x:c>
      <x:c r="BW2" s="16" t="str">
        <x:v>包装风格</x:v>
      </x:c>
      <x:c r="BX2" s="16" t="str">
        <x:v>设计关键词</x:v>
      </x:c>
      <x:c r="BY2" s="16" t="str">
        <x:v>审美定位</x:v>
      </x:c>
      <x:c r="BZ2" s="16" t="str">
        <x:v>品牌表达</x:v>
      </x:c>
      <x:c r="CA2" s="16" t="str">
        <x:v>视觉复杂度</x:v>
      </x:c>
      <x:c r="CB2" s="16" t="str">
        <x:v>感知价值</x:v>
      </x:c>
      <x:c r="CC2" s="16" t="str">
        <x:v>主要材质</x:v>
      </x:c>
      <x:c r="CD2" s="16" t="str">
        <x:v>表面材质</x:v>
      </x:c>
      <x:c r="CE2" s="16" t="str">
        <x:v>硅胶类型</x:v>
      </x:c>
      <x:c r="CF2" s="16" t="str">
        <x:v>硬度</x:v>
      </x:c>
      <x:c r="CG2" s="16" t="str">
        <x:v>表面触感</x:v>
      </x:c>
      <x:c r="CH2" s="16" t="str">
        <x:v>表面处理</x:v>
      </x:c>
      <x:c r="CI2" s="16" t="str">
        <x:v>材质认证</x:v>
      </x:c>
      <x:c r="CJ2" s="16" t="str">
        <x:v>产品长度</x:v>
      </x:c>
      <x:c r="CK2" s="16" t="str">
        <x:v>产品宽度</x:v>
      </x:c>
      <x:c r="CL2" s="16" t="str">
        <x:v>产品高度</x:v>
      </x:c>
      <x:c r="CM2" s="16" t="str">
        <x:v>产品直径</x:v>
      </x:c>
      <x:c r="CN2" s="16" t="str">
        <x:v>净重</x:v>
      </x:c>
      <x:c r="CO2" s="16" t="str">
        <x:v>毛重</x:v>
      </x:c>
      <x:c r="CP2" s="16" t="str">
        <x:v>包装长度</x:v>
      </x:c>
      <x:c r="CQ2" s="16" t="str">
        <x:v>包装宽度</x:v>
      </x:c>
      <x:c r="CR2" s="16" t="str">
        <x:v>包装高度</x:v>
      </x:c>
      <x:c r="CS2" s="16" t="str">
        <x:v>技术类型</x:v>
      </x:c>
      <x:c r="CT2" s="16" t="str">
        <x:v>马达系统</x:v>
      </x:c>
      <x:c r="CU2" s="16" t="str">
        <x:v>控制系统</x:v>
      </x:c>
      <x:c r="CV2" s="16" t="str">
        <x:v>控制距离</x:v>
      </x:c>
      <x:c r="CW2" s="16" t="str">
        <x:v>频率</x:v>
      </x:c>
      <x:c r="CX2" s="16" t="str">
        <x:v>振幅</x:v>
      </x:c>
      <x:c r="CY2" s="16" t="str">
        <x:v>噪音</x:v>
      </x:c>
      <x:c r="CZ2" s="16" t="str">
        <x:v>工作时间</x:v>
      </x:c>
      <x:c r="DA2" s="16" t="str">
        <x:v>充电时间</x:v>
      </x:c>
      <x:c r="DB2" s="16" t="str">
        <x:v>待机时间</x:v>
      </x:c>
      <x:c r="DC2" s="16" t="str">
        <x:v>显示方式</x:v>
      </x:c>
      <x:c r="DD2" s="16" t="str">
        <x:v>指示方式</x:v>
      </x:c>
      <x:c r="DE2" s="16" t="str">
        <x:v>电池类型</x:v>
      </x:c>
      <x:c r="DF2" s="16" t="str">
        <x:v>电池容量</x:v>
      </x:c>
      <x:c r="DG2" s="16" t="str">
        <x:v>电压</x:v>
      </x:c>
      <x:c r="DH2" s="16" t="str">
        <x:v>输入电压</x:v>
      </x:c>
      <x:c r="DI2" s="16" t="str">
        <x:v>充电方式</x:v>
      </x:c>
      <x:c r="DJ2" s="16" t="str">
        <x:v>充电接口</x:v>
      </x:c>
      <x:c r="DK2" s="16" t="str">
        <x:v>USB</x:v>
      </x:c>
      <x:c r="DL2" s="16" t="str">
        <x:v>无线充电</x:v>
      </x:c>
      <x:c r="DM2" s="16" t="str">
        <x:v>功率</x:v>
      </x:c>
      <x:c r="DN2" s="16" t="str">
        <x:v>防水等级</x:v>
      </x:c>
      <x:c r="DO2" s="16" t="str">
        <x:v>包装类型</x:v>
      </x:c>
      <x:c r="DP2" s="16" t="str">
        <x:v>包装材料</x:v>
      </x:c>
      <x:c r="DQ2" s="16" t="str">
        <x:v>包装颜色</x:v>
      </x:c>
      <x:c r="DR2" s="16" t="str">
        <x:v>包装尺寸</x:v>
      </x:c>
      <x:c r="DS2" s="16" t="str">
        <x:v>内包装</x:v>
      </x:c>
      <x:c r="DT2" s="16" t="str">
        <x:v>外包装</x:v>
      </x:c>
      <x:c r="DU2" s="16" t="str">
        <x:v>礼盒包装</x:v>
      </x:c>
      <x:c r="DV2" s="16" t="str">
        <x:v>定制包装</x:v>
      </x:c>
      <x:c r="DW2" s="16" t="str">
        <x:v>包装语言</x:v>
      </x:c>
      <x:c r="DX2" s="16" t="str">
        <x:v>说明书语言</x:v>
      </x:c>
      <x:c r="DY2" s="16" t="str">
        <x:v>工厂价格</x:v>
      </x:c>
      <x:c r="DZ2" s="16" t="str">
        <x:v>批发价格</x:v>
      </x:c>
      <x:c r="EA2" s="16" t="str">
        <x:v>建议零售价</x:v>
      </x:c>
      <x:c r="EB2" s="16" t="str">
        <x:v>目标零售价</x:v>
      </x:c>
      <x:c r="EC2" s="16" t="str">
        <x:v>价格等级</x:v>
      </x:c>
      <x:c r="ED2" s="16" t="str">
        <x:v>利润等级</x:v>
      </x:c>
      <x:c r="EE2" s="16" t="str">
        <x:v>起订量</x:v>
      </x:c>
      <x:c r="EF2" s="16" t="str">
        <x:v>样品价格</x:v>
      </x:c>
      <x:c r="EG2" s="16" t="str">
        <x:v>交期</x:v>
      </x:c>
      <x:c r="EH2" s="16" t="str">
        <x:v>产能</x:v>
      </x:c>
      <x:c r="EI2" s="16" t="str">
        <x:v>库存状态</x:v>
      </x:c>
      <x:c r="EJ2" s="16" t="str">
        <x:v>目标市场</x:v>
      </x:c>
      <x:c r="EK2" s="16" t="str">
        <x:v>市场优先级</x:v>
      </x:c>
      <x:c r="EL2" s="16" t="str">
        <x:v>市场适配</x:v>
      </x:c>
      <x:c r="EM2" s="16" t="str">
        <x:v>市场状态</x:v>
      </x:c>
      <x:c r="EN2" s="16" t="str">
        <x:v>市场需求</x:v>
      </x:c>
      <x:c r="EO2" s="16" t="str">
        <x:v>市场趋势</x:v>
      </x:c>
      <x:c r="EP2" s="16" t="str">
        <x:v>竞品密度</x:v>
      </x:c>
      <x:c r="EQ2" s="16" t="str">
        <x:v>市场机会</x:v>
      </x:c>
      <x:c r="ER2" s="16" t="str">
        <x:v>品牌定位</x:v>
      </x:c>
      <x:c r="ES2" s="16" t="str">
        <x:v>品牌等级</x:v>
      </x:c>
      <x:c r="ET2" s="16" t="str">
        <x:v>品牌风格</x:v>
      </x:c>
      <x:c r="EU2" s="16" t="str">
        <x:v>品牌故事</x:v>
      </x:c>
      <x:c r="EV2" s="16" t="str">
        <x:v>设计语言</x:v>
      </x:c>
      <x:c r="EW2" s="16" t="str">
        <x:v>品牌关键词</x:v>
      </x:c>
      <x:c r="EX2" s="16" t="str">
        <x:v>是否支持OEM</x:v>
      </x:c>
      <x:c r="EY2" s="16" t="str">
        <x:v>是否支持ODM</x:v>
      </x:c>
      <x:c r="EZ2" s="16" t="str">
        <x:v>Logo定制</x:v>
      </x:c>
      <x:c r="FA2" s="16" t="str">
        <x:v>颜色定制</x:v>
      </x:c>
      <x:c r="FB2" s="16" t="str">
        <x:v>材料定制</x:v>
      </x:c>
      <x:c r="FC2" s="16" t="str">
        <x:v>包装定制</x:v>
      </x:c>
      <x:c r="FD2" s="16" t="str">
        <x:v>功能定制</x:v>
      </x:c>
      <x:c r="FE2" s="16" t="str">
        <x:v>模具定制</x:v>
      </x:c>
      <x:c r="FF2" s="16" t="str">
        <x:v>APP定制</x:v>
      </x:c>
      <x:c r="FG2" s="16" t="str">
        <x:v>固件定制</x:v>
      </x:c>
      <x:c r="FH2" s="16" t="str">
        <x:v>结构定制</x:v>
      </x:c>
      <x:c r="FI2" s="16" t="str">
        <x:v>外观定制</x:v>
      </x:c>
      <x:c r="FJ2" s="16" t="str">
        <x:v>定制MOQ</x:v>
      </x:c>
      <x:c r="FK2" s="16" t="str">
        <x:v>定制交期</x:v>
      </x:c>
      <x:c r="FL2" s="16" t="str">
        <x:v>主图URL</x:v>
      </x:c>
      <x:c r="FM2" s="16" t="str">
        <x:v>正面图URL</x:v>
      </x:c>
      <x:c r="FN2" s="16" t="str">
        <x:v>侧面图URL</x:v>
      </x:c>
      <x:c r="FO2" s="16" t="str">
        <x:v>细节图URL</x:v>
      </x:c>
      <x:c r="FP2" s="16" t="str">
        <x:v>包装图URL</x:v>
      </x:c>
      <x:c r="FQ2" s="16" t="str">
        <x:v>场景图URL</x:v>
      </x:c>
      <x:c r="FR2" s="16" t="str">
        <x:v>卖点图URL</x:v>
      </x:c>
      <x:c r="FS2" s="16" t="str">
        <x:v>尺寸图URL</x:v>
      </x:c>
      <x:c r="FT2" s="16" t="str">
        <x:v>说明图URL</x:v>
      </x:c>
      <x:c r="FU2" s="16" t="str">
        <x:v>产品视频URL</x:v>
      </x:c>
      <x:c r="FV2" s="16" t="str">
        <x:v>图片数量</x:v>
      </x:c>
      <x:c r="FW2" s="16" t="str">
        <x:v>媒体质量</x:v>
      </x:c>
      <x:c r="FX2" s="16" t="str">
        <x:v>品类标签</x:v>
      </x:c>
      <x:c r="FY2" s="16" t="str">
        <x:v>功能标签</x:v>
      </x:c>
      <x:c r="FZ2" s="16" t="str">
        <x:v>人群标签</x:v>
      </x:c>
      <x:c r="GA2" s="16" t="str">
        <x:v>风格标签</x:v>
      </x:c>
      <x:c r="GB2" s="16" t="str">
        <x:v>场景标签</x:v>
      </x:c>
      <x:c r="GC2" s="16" t="str">
        <x:v>市场标签</x:v>
      </x:c>
      <x:c r="GD2" s="16" t="str">
        <x:v>价格标签</x:v>
      </x:c>
      <x:c r="GE2" s="16" t="str">
        <x:v>机会标签</x:v>
      </x:c>
      <x:c r="GF2" s="16" t="str">
        <x:v>产品定位标签</x:v>
      </x:c>
      <x:c r="GG2" s="16" t="str">
        <x:v>数据完整度</x:v>
      </x:c>
      <x:c r="GH2" s="16" t="str">
        <x:v>产品力评分</x:v>
      </x:c>
      <x:c r="GI2" s="16" t="str">
        <x:v>设计价值评分</x:v>
      </x:c>
      <x:c r="GJ2" s="16" t="str">
        <x:v>功能差异化评分</x:v>
      </x:c>
      <x:c r="GK2" s="16" t="str">
        <x:v>商业潜力评分</x:v>
      </x:c>
      <x:c r="GL2" s="16" t="str">
        <x:v>市场适配评分</x:v>
      </x:c>
      <x:c r="GM2" s="16" t="str">
        <x:v>品牌价值评分</x:v>
      </x:c>
      <x:c r="GN2" s="16" t="str">
        <x:v>产品智能评分</x:v>
      </x:c>
      <x:c r="GO2" s="16" t="str">
        <x:v>战略价值评分</x:v>
      </x:c>
      <x:c r="GP2" s="16" t="str">
        <x:v>产品优先级评分</x:v>
      </x:c>
      <x:c r="GQ2" s="16" t="str">
        <x:v>浏览次数</x:v>
      </x:c>
      <x:c r="GR2" s="16" t="str">
        <x:v>推荐次数</x:v>
      </x:c>
      <x:c r="GS2" s="16" t="str">
        <x:v>Proposal次数</x:v>
      </x:c>
      <x:c r="GT2" s="16" t="str">
        <x:v>分享次数</x:v>
      </x:c>
      <x:c r="GU2" s="16" t="str">
        <x:v>客户兴趣次数</x:v>
      </x:c>
      <x:c r="GV2" s="16" t="str">
        <x:v>样品申请次数</x:v>
      </x:c>
      <x:c r="GW2" s="16" t="str">
        <x:v>报价次数</x:v>
      </x:c>
      <x:c r="GX2" s="16" t="str">
        <x:v>订单次数</x:v>
      </x:c>
      <x:c r="GY2" s="16" t="str">
        <x:v>销售金额</x:v>
      </x:c>
      <x:c r="GZ2" s="16" t="str">
        <x:v>转化率</x:v>
      </x:c>
      <x:c r="HA2" s="16" t="str">
        <x:v>认证</x:v>
      </x:c>
      <x:c r="HB2" s="16" t="str">
        <x:v>证书编号</x:v>
      </x:c>
      <x:c r="HC2" s="16" t="str">
        <x:v>测试报告</x:v>
      </x:c>
      <x:c r="HD2" s="16" t="str">
        <x:v>材料认证URL</x:v>
      </x:c>
      <x:c r="HE2" s="16" t="str">
        <x:v>市场合规</x:v>
      </x:c>
      <x:c r="HF2" s="16" t="str">
        <x:v>警告信息</x:v>
      </x:c>
      <x:c r="HG2" s="16" t="str">
        <x:v>使用说明</x:v>
      </x:c>
      <x:c r="HH2" s="16" t="str">
        <x:v>年龄要求</x:v>
      </x:c>
      <x:c r="HI2" s="16" t="str">
        <x:v>推荐客户类型</x:v>
      </x:c>
      <x:c r="HJ2" s="16" t="str">
        <x:v>推荐品牌风格</x:v>
      </x:c>
      <x:c r="HK2" s="16" t="str">
        <x:v>推荐市场</x:v>
      </x:c>
      <x:c r="HL2" s="16" t="str">
        <x:v>推荐价格段</x:v>
      </x:c>
      <x:c r="HM2" s="16" t="str">
        <x:v>推荐品类</x:v>
      </x:c>
      <x:c r="HN2" s="16" t="str">
        <x:v>适合填补的产品空缺</x:v>
      </x:c>
      <x:c r="HO2" s="16" t="str">
        <x:v>推荐理由中文</x:v>
      </x:c>
      <x:c r="HP2" s="16" t="str">
        <x:v>推荐理由英文</x:v>
      </x:c>
      <x:c r="HQ2" s="16" t="str">
        <x:v>推荐场景</x:v>
      </x:c>
      <x:c r="HR2" s="16" t="str">
        <x:v>交叉销售产品</x:v>
      </x:c>
      <x:c r="HS2" s="16" t="str">
        <x:v>升级推荐产品</x:v>
      </x:c>
      <x:c r="HT2" s="16" t="str">
        <x:v>替代产品</x:v>
      </x:c>
    </x:row>
    <x:row r="3">
      <x:c r="A3" s="22" t="str"/>
      <x:c r="B3" s="22" t="str">
        <x:v>EXAMPLE-F01</x:v>
      </x:c>
      <x:c r="C3" s="22" t="str"/>
      <x:c r="D3" s="22" t="str">
        <x:v>示例女性多功能按摩器</x:v>
      </x:c>
      <x:c r="E3" s="22" t="str">
        <x:v>Example Female Multifunctional Massager</x:v>
      </x:c>
      <x:c r="F3" s="22" t="str"/>
      <x:c r="G3" s="22" t="str"/>
      <x:c r="H3" s="22" t="str"/>
      <x:c r="I3" s="22" t="str">
        <x:v>Active</x:v>
      </x:c>
      <x:c r="J3" s="22" t="str"/>
      <x:c r="K3" s="22" t="str"/>
      <x:c r="L3" s="22" t="str">
        <x:v>Female</x:v>
      </x:c>
      <x:c r="M3" s="22" t="str">
        <x:v>Multifunctional</x:v>
      </x:c>
      <x:c r="N3" s="22" t="str"/>
      <x:c r="O3" s="22" t="str"/>
      <x:c r="P3" s="22" t="str"/>
      <x:c r="Q3" s="22" t="str"/>
      <x:c r="R3" s="22" t="str"/>
      <x:c r="S3" s="22" t="str"/>
      <x:c r="T3" s="22" t="str"/>
      <x:c r="U3" s="22" t="str"/>
      <x:c r="V3" s="22" t="str"/>
      <x:c r="W3" s="22" t="str"/>
      <x:c r="X3" s="22" t="str"/>
      <x:c r="Y3" s="22" t="str"/>
      <x:c r="Z3" s="22" t="str"/>
      <x:c r="AA3" s="22" t="str"/>
      <x:c r="AB3" s="22" t="str">
        <x:v>Vibration</x:v>
      </x:c>
      <x:c r="AC3" s="22" t="str"/>
      <x:c r="AD3" s="22" t="str"/>
      <x:c r="AE3" s="22" t="str"/>
      <x:c r="AF3" s="22" t="str"/>
      <x:c r="AG3" s="22" t="str"/>
      <x:c r="AH3" s="22" t="str"/>
      <x:c r="AI3" s="22" t="str"/>
      <x:c r="AJ3" s="22" t="str"/>
      <x:c r="AK3" s="22" t="str"/>
      <x:c r="AL3" s="22" t="str"/>
      <x:c r="AM3" s="22" t="str"/>
      <x:c r="AN3" s="22" t="str"/>
      <x:c r="AO3" s="22" t="str"/>
      <x:c r="AP3" s="22" t="str"/>
      <x:c r="AQ3" s="22" t="str"/>
      <x:c r="AR3" s="22" t="str"/>
      <x:c r="AS3" s="22" t="str"/>
      <x:c r="AT3" s="22" t="str"/>
      <x:c r="AU3" s="22" t="str"/>
      <x:c r="AV3" s="22" t="str"/>
      <x:c r="AW3" s="22" t="str"/>
      <x:c r="AX3" s="22" t="str"/>
      <x:c r="AY3" s="22" t="str"/>
      <x:c r="AZ3" s="22" t="str"/>
      <x:c r="BA3" s="22" t="str"/>
      <x:c r="BB3" s="22" t="str"/>
      <x:c r="BC3" s="22" t="str"/>
      <x:c r="BD3" s="22" t="str"/>
      <x:c r="BE3" s="22" t="str"/>
      <x:c r="BF3" s="22" t="str"/>
      <x:c r="BG3" s="22" t="str"/>
      <x:c r="BH3" s="22" t="str"/>
      <x:c r="BI3" s="22" t="str">
        <x:v>Female</x:v>
      </x:c>
      <x:c r="BJ3" s="22" t="str"/>
      <x:c r="BK3" s="22" t="str">
        <x:v>Premium;Wellness</x:v>
      </x:c>
      <x:c r="BL3" s="22" t="str"/>
      <x:c r="BM3" s="22" t="str"/>
      <x:c r="BN3" s="22" t="str"/>
      <x:c r="BO3" s="22" t="str"/>
      <x:c r="BP3" s="22" t="str"/>
      <x:c r="BQ3" s="22" t="str"/>
      <x:c r="BR3" s="22" t="str"/>
      <x:c r="BS3" s="22" t="str">
        <x:v>Minimal;Premium</x:v>
      </x:c>
      <x:c r="BT3" s="22" t="str">
        <x:v>Minimal;Feminine</x:v>
      </x:c>
      <x:c r="BU3" s="22" t="str"/>
      <x:c r="BV3" s="22" t="str"/>
      <x:c r="BW3" s="22" t="str"/>
      <x:c r="BX3" s="22" t="str"/>
      <x:c r="BY3" s="22" t="str"/>
      <x:c r="BZ3" s="22" t="str"/>
      <x:c r="CA3" s="22" t="str"/>
      <x:c r="CB3" s="22" t="str"/>
      <x:c r="CC3" s="22" t="str">
        <x:v>Silicone</x:v>
      </x:c>
      <x:c r="CD3" s="22" t="str"/>
      <x:c r="CE3" s="22" t="str"/>
      <x:c r="CF3" s="22" t="str"/>
      <x:c r="CG3" s="22" t="str"/>
      <x:c r="CH3" s="22" t="str"/>
      <x:c r="CI3" s="22" t="str"/>
      <x:c r="CJ3" s="22" t="str"/>
      <x:c r="CK3" s="22" t="str"/>
      <x:c r="CL3" s="22" t="str"/>
      <x:c r="CM3" s="22" t="str"/>
      <x:c r="CN3" s="22" t="str"/>
      <x:c r="CO3" s="22" t="str"/>
      <x:c r="CP3" s="22" t="str"/>
      <x:c r="CQ3" s="22" t="str"/>
      <x:c r="CR3" s="22" t="str"/>
      <x:c r="CS3" s="22" t="str"/>
      <x:c r="CT3" s="22" t="str"/>
      <x:c r="CU3" s="22" t="str"/>
      <x:c r="CV3" s="22" t="str"/>
      <x:c r="CW3" s="22" t="str"/>
      <x:c r="CX3" s="22" t="str"/>
      <x:c r="CY3" s="22" t="str"/>
      <x:c r="CZ3" s="22" t="str"/>
      <x:c r="DA3" s="22" t="str"/>
      <x:c r="DB3" s="22" t="str"/>
      <x:c r="DC3" s="22" t="str"/>
      <x:c r="DD3" s="22" t="str"/>
      <x:c r="DE3" s="22" t="str"/>
      <x:c r="DF3" s="22" t="str"/>
      <x:c r="DG3" s="22" t="str"/>
      <x:c r="DH3" s="22" t="str"/>
      <x:c r="DI3" s="22" t="str"/>
      <x:c r="DJ3" s="22" t="str"/>
      <x:c r="DK3" s="22" t="str"/>
      <x:c r="DL3" s="22" t="str"/>
      <x:c r="DM3" s="22" t="str"/>
      <x:c r="DN3" s="22" t="str"/>
      <x:c r="DO3" s="22" t="str"/>
      <x:c r="DP3" s="22" t="str"/>
      <x:c r="DQ3" s="22" t="str"/>
      <x:c r="DR3" s="22" t="str"/>
      <x:c r="DS3" s="22" t="str"/>
      <x:c r="DT3" s="22" t="str"/>
      <x:c r="DU3" s="22" t="str"/>
      <x:c r="DV3" s="22" t="str"/>
      <x:c r="DW3" s="22" t="str"/>
      <x:c r="DX3" s="22" t="str"/>
      <x:c r="DY3" s="22" t="str"/>
      <x:c r="DZ3" s="22" t="str"/>
      <x:c r="EA3" s="22" t="str"/>
      <x:c r="EB3" s="22" t="str"/>
      <x:c r="EC3" s="22" t="str">
        <x:v>Premium</x:v>
      </x:c>
      <x:c r="ED3" s="22" t="str"/>
      <x:c r="EE3" s="22" t="n">
        <x:v>500</x:v>
      </x:c>
      <x:c r="EF3" s="22" t="str"/>
      <x:c r="EG3" s="22" t="str"/>
      <x:c r="EH3" s="22" t="str"/>
      <x:c r="EI3" s="22" t="str"/>
      <x:c r="EJ3" s="22" t="str"/>
      <x:c r="EK3" s="22" t="str"/>
      <x:c r="EL3" s="22" t="str"/>
      <x:c r="EM3" s="22" t="str"/>
      <x:c r="EN3" s="22" t="str"/>
      <x:c r="EO3" s="22" t="str"/>
      <x:c r="EP3" s="22" t="str"/>
      <x:c r="EQ3" s="22" t="str"/>
      <x:c r="ER3" s="22" t="str"/>
      <x:c r="ES3" s="22" t="str"/>
      <x:c r="ET3" s="22" t="str"/>
      <x:c r="EU3" s="22" t="str"/>
      <x:c r="EV3" s="22" t="str"/>
      <x:c r="EW3" s="22" t="str"/>
      <x:c r="EX3" s="22" t="str">
        <x:v>Yes</x:v>
      </x:c>
      <x:c r="EY3" s="22" t="str">
        <x:v>Yes</x:v>
      </x:c>
      <x:c r="EZ3" s="22" t="str"/>
      <x:c r="FA3" s="22" t="str"/>
      <x:c r="FB3" s="22" t="str"/>
      <x:c r="FC3" s="22" t="str"/>
      <x:c r="FD3" s="22" t="str"/>
      <x:c r="FE3" s="22" t="str"/>
      <x:c r="FF3" s="22" t="str"/>
      <x:c r="FG3" s="22" t="str"/>
      <x:c r="FH3" s="22" t="str"/>
      <x:c r="FI3" s="22" t="str"/>
      <x:c r="FJ3" s="22" t="str"/>
      <x:c r="FK3" s="22" t="str"/>
      <x:c r="FL3" s="22" t="str">
        <x:v>/media/EXAMPLE-F01/hero.webp</x:v>
      </x:c>
      <x:c r="FM3" s="22" t="str"/>
      <x:c r="FN3" s="22" t="str"/>
      <x:c r="FO3" s="22" t="str"/>
      <x:c r="FP3" s="22" t="str"/>
      <x:c r="FQ3" s="22" t="str"/>
      <x:c r="FR3" s="22" t="str"/>
      <x:c r="FS3" s="22" t="str"/>
      <x:c r="FT3" s="22" t="str"/>
      <x:c r="FU3" s="22" t="str"/>
      <x:c r="FV3" s="22" t="str"/>
      <x:c r="FW3" s="22" t="str"/>
      <x:c r="FX3" s="22" t="str"/>
      <x:c r="FY3" s="22" t="str"/>
      <x:c r="FZ3" s="22" t="str"/>
      <x:c r="GA3" s="22" t="str"/>
      <x:c r="GB3" s="22" t="str"/>
      <x:c r="GC3" s="22" t="str"/>
      <x:c r="GD3" s="22" t="str"/>
      <x:c r="GE3" s="22" t="str"/>
      <x:c r="GF3" s="22" t="str"/>
      <x:c r="GG3" s="22" t="n">
        <x:v>94</x:v>
      </x:c>
      <x:c r="GH3" s="22" t="n">
        <x:v>90</x:v>
      </x:c>
      <x:c r="GI3" s="22" t="n">
        <x:v>92</x:v>
      </x:c>
      <x:c r="GJ3" s="22" t="n">
        <x:v>89</x:v>
      </x:c>
      <x:c r="GK3" s="22" t="n">
        <x:v>91</x:v>
      </x:c>
      <x:c r="GL3" s="22" t="n">
        <x:v>88</x:v>
      </x:c>
      <x:c r="GM3" s="22" t="n">
        <x:v>90</x:v>
      </x:c>
      <x:c r="GN3" s="22" t="n">
        <x:f>IF(COUNTA(GH3,GI3,GJ3,GK3,GL3,GM3)=0,"",ROUND(GH3*20%+GI3*15%+GJ3*15%+GK3*20%+GL3*15%+GM3*15%,0))</x:f>
        <x:v>90</x:v>
      </x:c>
      <x:c r="GO3" s="22" t="n">
        <x:v>90</x:v>
      </x:c>
      <x:c r="GP3" s="22" t="n">
        <x:f>IF(COUNTA(GO3,GK3,GJ3,GL3,GM3)=0,"",ROUND(GO3*30%+GK3*25%+GJ3*20%+GL3*15%+GM3*10%,0))</x:f>
        <x:v>90</x:v>
      </x:c>
      <x:c r="GQ3" s="22" t="str"/>
      <x:c r="GR3" s="22" t="str"/>
      <x:c r="GS3" s="22" t="str"/>
      <x:c r="GT3" s="22" t="str"/>
      <x:c r="GU3" s="22" t="str"/>
      <x:c r="GV3" s="22" t="str"/>
      <x:c r="GW3" s="22" t="str"/>
      <x:c r="GX3" s="22" t="str"/>
      <x:c r="GY3" s="22" t="str"/>
      <x:c r="GZ3" s="22" t="str">
        <x:f>IF(GR3=0,"",GX3/GR3)</x:f>
      </x:c>
      <x:c r="HA3" s="22" t="str"/>
      <x:c r="HB3" s="22" t="str"/>
      <x:c r="HC3" s="22" t="str"/>
      <x:c r="HD3" s="22" t="str"/>
      <x:c r="HE3" s="22" t="str"/>
      <x:c r="HF3" s="22" t="str"/>
      <x:c r="HG3" s="22" t="str"/>
      <x:c r="HH3" s="22" t="str"/>
      <x:c r="HI3" s="22" t="str"/>
      <x:c r="HJ3" s="22" t="str"/>
      <x:c r="HK3" s="22" t="str"/>
      <x:c r="HL3" s="22" t="str"/>
      <x:c r="HM3" s="22" t="str"/>
      <x:c r="HN3" s="22" t="str"/>
      <x:c r="HO3" s="22" t="str"/>
      <x:c r="HP3" s="22" t="str"/>
      <x:c r="HQ3" s="22" t="str"/>
      <x:c r="HR3" s="22" t="str"/>
      <x:c r="HS3" s="22" t="str"/>
      <x:c r="HT3" s="22" t="str"/>
    </x:row>
    <x:row r="4">
      <x:c r="A4" s="22" t="str"/>
      <x:c r="B4" s="22" t="str">
        <x:v>EXAMPLE-C01</x:v>
      </x:c>
      <x:c r="C4" s="22" t="str"/>
      <x:c r="D4" s="22" t="str">
        <x:v>示例夫妻互动产品</x:v>
      </x:c>
      <x:c r="E4" s="22" t="str">
        <x:v>Example Couples Interactive Product</x:v>
      </x:c>
      <x:c r="F4" s="22" t="str"/>
      <x:c r="G4" s="22" t="str"/>
      <x:c r="H4" s="22" t="str"/>
      <x:c r="I4" s="22" t="str">
        <x:v>New</x:v>
      </x:c>
      <x:c r="J4" s="22" t="str"/>
      <x:c r="K4" s="22" t="str"/>
      <x:c r="L4" s="22" t="str">
        <x:v>Couples</x:v>
      </x:c>
      <x:c r="M4" s="22" t="str">
        <x:v>Remote Play</x:v>
      </x:c>
      <x:c r="N4" s="22" t="str"/>
      <x:c r="O4" s="22" t="str"/>
      <x:c r="P4" s="22" t="str"/>
      <x:c r="Q4" s="22" t="str"/>
      <x:c r="R4" s="22" t="str"/>
      <x:c r="S4" s="22" t="str"/>
      <x:c r="T4" s="22" t="str"/>
      <x:c r="U4" s="22" t="str"/>
      <x:c r="V4" s="22" t="str"/>
      <x:c r="W4" s="22" t="str"/>
      <x:c r="X4" s="22" t="str"/>
      <x:c r="Y4" s="22" t="str"/>
      <x:c r="Z4" s="22" t="str"/>
      <x:c r="AA4" s="22" t="str"/>
      <x:c r="AB4" s="22" t="str">
        <x:v>Remote Control</x:v>
      </x:c>
      <x:c r="AC4" s="22" t="str"/>
      <x:c r="AD4" s="22" t="str"/>
      <x:c r="AE4" s="22" t="str"/>
      <x:c r="AF4" s="22" t="str"/>
      <x:c r="AG4" s="22" t="str"/>
      <x:c r="AH4" s="22" t="str"/>
      <x:c r="AI4" s="22" t="str"/>
      <x:c r="AJ4" s="22" t="str"/>
      <x:c r="AK4" s="22" t="str"/>
      <x:c r="AL4" s="22" t="str"/>
      <x:c r="AM4" s="22" t="str"/>
      <x:c r="AN4" s="22" t="str"/>
      <x:c r="AO4" s="22" t="str"/>
      <x:c r="AP4" s="22" t="str"/>
      <x:c r="AQ4" s="22" t="str"/>
      <x:c r="AR4" s="22" t="str"/>
      <x:c r="AS4" s="22" t="str"/>
      <x:c r="AT4" s="22" t="str"/>
      <x:c r="AU4" s="22" t="str"/>
      <x:c r="AV4" s="22" t="str"/>
      <x:c r="AW4" s="22" t="str"/>
      <x:c r="AX4" s="22" t="str"/>
      <x:c r="AY4" s="22" t="str"/>
      <x:c r="AZ4" s="22" t="str"/>
      <x:c r="BA4" s="22" t="str"/>
      <x:c r="BB4" s="22" t="str"/>
      <x:c r="BC4" s="22" t="str"/>
      <x:c r="BD4" s="22" t="str"/>
      <x:c r="BE4" s="22" t="str"/>
      <x:c r="BF4" s="22" t="str"/>
      <x:c r="BG4" s="22" t="str"/>
      <x:c r="BH4" s="22" t="str"/>
      <x:c r="BI4" s="22" t="str">
        <x:v>Couples</x:v>
      </x:c>
      <x:c r="BJ4" s="22" t="str"/>
      <x:c r="BK4" s="22" t="str">
        <x:v>Couples;Premium</x:v>
      </x:c>
      <x:c r="BL4" s="22" t="str"/>
      <x:c r="BM4" s="22" t="str"/>
      <x:c r="BN4" s="22" t="str"/>
      <x:c r="BO4" s="22" t="str"/>
      <x:c r="BP4" s="22" t="str"/>
      <x:c r="BQ4" s="22" t="str"/>
      <x:c r="BR4" s="22" t="str"/>
      <x:c r="BS4" s="22" t="str">
        <x:v>Modern;Technology</x:v>
      </x:c>
      <x:c r="BT4" s="22" t="str">
        <x:v>Modern;Premium</x:v>
      </x:c>
      <x:c r="BU4" s="22" t="str"/>
      <x:c r="BV4" s="22" t="str"/>
      <x:c r="BW4" s="22" t="str"/>
      <x:c r="BX4" s="22" t="str"/>
      <x:c r="BY4" s="22" t="str"/>
      <x:c r="BZ4" s="22" t="str"/>
      <x:c r="CA4" s="22" t="str"/>
      <x:c r="CB4" s="22" t="str"/>
      <x:c r="CC4" s="22" t="str">
        <x:v>Silicone</x:v>
      </x:c>
      <x:c r="CD4" s="22" t="str"/>
      <x:c r="CE4" s="22" t="str"/>
      <x:c r="CF4" s="22" t="str"/>
      <x:c r="CG4" s="22" t="str"/>
      <x:c r="CH4" s="22" t="str"/>
      <x:c r="CI4" s="22" t="str"/>
      <x:c r="CJ4" s="22" t="str"/>
      <x:c r="CK4" s="22" t="str"/>
      <x:c r="CL4" s="22" t="str"/>
      <x:c r="CM4" s="22" t="str"/>
      <x:c r="CN4" s="22" t="str"/>
      <x:c r="CO4" s="22" t="str"/>
      <x:c r="CP4" s="22" t="str"/>
      <x:c r="CQ4" s="22" t="str"/>
      <x:c r="CR4" s="22" t="str"/>
      <x:c r="CS4" s="22" t="str"/>
      <x:c r="CT4" s="22" t="str"/>
      <x:c r="CU4" s="22" t="str"/>
      <x:c r="CV4" s="22" t="str"/>
      <x:c r="CW4" s="22" t="str"/>
      <x:c r="CX4" s="22" t="str"/>
      <x:c r="CY4" s="22" t="str"/>
      <x:c r="CZ4" s="22" t="str"/>
      <x:c r="DA4" s="22" t="str"/>
      <x:c r="DB4" s="22" t="str"/>
      <x:c r="DC4" s="22" t="str"/>
      <x:c r="DD4" s="22" t="str"/>
      <x:c r="DE4" s="22" t="str"/>
      <x:c r="DF4" s="22" t="str"/>
      <x:c r="DG4" s="22" t="str"/>
      <x:c r="DH4" s="22" t="str"/>
      <x:c r="DI4" s="22" t="str"/>
      <x:c r="DJ4" s="22" t="str"/>
      <x:c r="DK4" s="22" t="str"/>
      <x:c r="DL4" s="22" t="str"/>
      <x:c r="DM4" s="22" t="str"/>
      <x:c r="DN4" s="22" t="str"/>
      <x:c r="DO4" s="22" t="str"/>
      <x:c r="DP4" s="22" t="str"/>
      <x:c r="DQ4" s="22" t="str"/>
      <x:c r="DR4" s="22" t="str"/>
      <x:c r="DS4" s="22" t="str"/>
      <x:c r="DT4" s="22" t="str"/>
      <x:c r="DU4" s="22" t="str"/>
      <x:c r="DV4" s="22" t="str"/>
      <x:c r="DW4" s="22" t="str"/>
      <x:c r="DX4" s="22" t="str"/>
      <x:c r="DY4" s="22" t="str"/>
      <x:c r="DZ4" s="22" t="str"/>
      <x:c r="EA4" s="22" t="str"/>
      <x:c r="EB4" s="22" t="str"/>
      <x:c r="EC4" s="22" t="str">
        <x:v>Premium</x:v>
      </x:c>
      <x:c r="ED4" s="22" t="str"/>
      <x:c r="EE4" s="22" t="n">
        <x:v>300</x:v>
      </x:c>
      <x:c r="EF4" s="22" t="str"/>
      <x:c r="EG4" s="22" t="str"/>
      <x:c r="EH4" s="22" t="str"/>
      <x:c r="EI4" s="22" t="str"/>
      <x:c r="EJ4" s="22" t="str"/>
      <x:c r="EK4" s="22" t="str"/>
      <x:c r="EL4" s="22" t="str"/>
      <x:c r="EM4" s="22" t="str"/>
      <x:c r="EN4" s="22" t="str"/>
      <x:c r="EO4" s="22" t="str"/>
      <x:c r="EP4" s="22" t="str"/>
      <x:c r="EQ4" s="22" t="str"/>
      <x:c r="ER4" s="22" t="str"/>
      <x:c r="ES4" s="22" t="str"/>
      <x:c r="ET4" s="22" t="str"/>
      <x:c r="EU4" s="22" t="str"/>
      <x:c r="EV4" s="22" t="str"/>
      <x:c r="EW4" s="22" t="str"/>
      <x:c r="EX4" s="22" t="str">
        <x:v>Yes</x:v>
      </x:c>
      <x:c r="EY4" s="22" t="str">
        <x:v>Yes</x:v>
      </x:c>
      <x:c r="EZ4" s="22" t="str"/>
      <x:c r="FA4" s="22" t="str"/>
      <x:c r="FB4" s="22" t="str"/>
      <x:c r="FC4" s="22" t="str"/>
      <x:c r="FD4" s="22" t="str"/>
      <x:c r="FE4" s="22" t="str"/>
      <x:c r="FF4" s="22" t="str"/>
      <x:c r="FG4" s="22" t="str"/>
      <x:c r="FH4" s="22" t="str"/>
      <x:c r="FI4" s="22" t="str"/>
      <x:c r="FJ4" s="22" t="str"/>
      <x:c r="FK4" s="22" t="str"/>
      <x:c r="FL4" s="22" t="str">
        <x:v>/media/EXAMPLE-C01/hero.webp</x:v>
      </x:c>
      <x:c r="FM4" s="22" t="str"/>
      <x:c r="FN4" s="22" t="str"/>
      <x:c r="FO4" s="22" t="str"/>
      <x:c r="FP4" s="22" t="str"/>
      <x:c r="FQ4" s="22" t="str"/>
      <x:c r="FR4" s="22" t="str"/>
      <x:c r="FS4" s="22" t="str"/>
      <x:c r="FT4" s="22" t="str"/>
      <x:c r="FU4" s="22" t="str"/>
      <x:c r="FV4" s="22" t="str"/>
      <x:c r="FW4" s="22" t="str"/>
      <x:c r="FX4" s="22" t="str"/>
      <x:c r="FY4" s="22" t="str"/>
      <x:c r="FZ4" s="22" t="str"/>
      <x:c r="GA4" s="22" t="str"/>
      <x:c r="GB4" s="22" t="str"/>
      <x:c r="GC4" s="22" t="str"/>
      <x:c r="GD4" s="22" t="str"/>
      <x:c r="GE4" s="22" t="str"/>
      <x:c r="GF4" s="22" t="str"/>
      <x:c r="GG4" s="22" t="n">
        <x:v>86</x:v>
      </x:c>
      <x:c r="GH4" s="22" t="n">
        <x:v>84</x:v>
      </x:c>
      <x:c r="GI4" s="22" t="n">
        <x:v>88</x:v>
      </x:c>
      <x:c r="GJ4" s="22" t="n">
        <x:v>94</x:v>
      </x:c>
      <x:c r="GK4" s="22" t="n">
        <x:v>86</x:v>
      </x:c>
      <x:c r="GL4" s="22" t="n">
        <x:v>90</x:v>
      </x:c>
      <x:c r="GM4" s="22" t="n">
        <x:v>91</x:v>
      </x:c>
      <x:c r="GN4" s="22" t="n">
        <x:f>IF(COUNTA(GH4,GI4,GJ4,GK4,GL4,GM4)=0,"",ROUND(GH4*20%+GI4*15%+GJ4*15%+GK4*20%+GL4*15%+GM4*15%,0))</x:f>
        <x:v>88</x:v>
      </x:c>
      <x:c r="GO4" s="22" t="n">
        <x:v>95</x:v>
      </x:c>
      <x:c r="GP4" s="22" t="n">
        <x:f>IF(COUNTA(GO4,GK4,GJ4,GL4,GM4)=0,"",ROUND(GO4*30%+GK4*25%+GJ4*20%+GL4*15%+GM4*10%,0))</x:f>
        <x:v>91</x:v>
      </x:c>
      <x:c r="GQ4" s="22" t="str"/>
      <x:c r="GR4" s="22" t="str"/>
      <x:c r="GS4" s="22" t="str"/>
      <x:c r="GT4" s="22" t="str"/>
      <x:c r="GU4" s="22" t="str"/>
      <x:c r="GV4" s="22" t="str"/>
      <x:c r="GW4" s="22" t="str"/>
      <x:c r="GX4" s="22" t="str"/>
      <x:c r="GY4" s="22" t="str"/>
      <x:c r="GZ4" s="22" t="str">
        <x:f>IF(GR4=0,"",GX4/GR4)</x:f>
      </x:c>
      <x:c r="HA4" s="22" t="str"/>
      <x:c r="HB4" s="22" t="str"/>
      <x:c r="HC4" s="22" t="str"/>
      <x:c r="HD4" s="22" t="str"/>
      <x:c r="HE4" s="22" t="str"/>
      <x:c r="HF4" s="22" t="str"/>
      <x:c r="HG4" s="22" t="str"/>
      <x:c r="HH4" s="22" t="str"/>
      <x:c r="HI4" s="22" t="str"/>
      <x:c r="HJ4" s="22" t="str"/>
      <x:c r="HK4" s="22" t="str"/>
      <x:c r="HL4" s="22" t="str"/>
      <x:c r="HM4" s="22" t="str"/>
      <x:c r="HN4" s="22" t="str"/>
      <x:c r="HO4" s="22" t="str"/>
      <x:c r="HP4" s="22" t="str"/>
      <x:c r="HQ4" s="22" t="str"/>
      <x:c r="HR4" s="22" t="str"/>
      <x:c r="HS4" s="22" t="str"/>
      <x:c r="HT4" s="22" t="str"/>
    </x:row>
    <x:row r="5">
      <x:c r="A5" s="22" t="str"/>
      <x:c r="B5" s="22" t="str">
        <x:v>EXAMPLE-W01</x:v>
      </x:c>
      <x:c r="C5" s="22" t="str"/>
      <x:c r="D5" s="22" t="str">
        <x:v>示例水剂润滑产品</x:v>
      </x:c>
      <x:c r="E5" s="22" t="str">
        <x:v>Example Water-Based Lubricant</x:v>
      </x:c>
      <x:c r="F5" s="22" t="str"/>
      <x:c r="G5" s="22" t="str"/>
      <x:c r="H5" s="22" t="str"/>
      <x:c r="I5" s="22" t="str">
        <x:v>Best Seller</x:v>
      </x:c>
      <x:c r="J5" s="22" t="str"/>
      <x:c r="K5" s="22" t="str"/>
      <x:c r="L5" s="22" t="str">
        <x:v>Water-Based</x:v>
      </x:c>
      <x:c r="M5" s="22" t="str">
        <x:v>Lubricants</x:v>
      </x:c>
      <x:c r="N5" s="22" t="str"/>
      <x:c r="O5" s="22" t="str"/>
      <x:c r="P5" s="22" t="str"/>
      <x:c r="Q5" s="22" t="str"/>
      <x:c r="R5" s="22" t="str"/>
      <x:c r="S5" s="22" t="str"/>
      <x:c r="T5" s="22" t="str"/>
      <x:c r="U5" s="22" t="str"/>
      <x:c r="V5" s="22" t="str"/>
      <x:c r="W5" s="22" t="str"/>
      <x:c r="X5" s="22" t="str"/>
      <x:c r="Y5" s="22" t="str"/>
      <x:c r="Z5" s="22" t="str"/>
      <x:c r="AA5" s="22" t="str"/>
      <x:c r="AB5" s="22" t="str">
        <x:v>Lubrication</x:v>
      </x:c>
      <x:c r="AC5" s="22" t="str"/>
      <x:c r="AD5" s="22" t="str"/>
      <x:c r="AE5" s="22" t="str"/>
      <x:c r="AF5" s="22" t="str"/>
      <x:c r="AG5" s="22" t="str"/>
      <x:c r="AH5" s="22" t="str"/>
      <x:c r="AI5" s="22" t="str"/>
      <x:c r="AJ5" s="22" t="str"/>
      <x:c r="AK5" s="22" t="str"/>
      <x:c r="AL5" s="22" t="str"/>
      <x:c r="AM5" s="22" t="str"/>
      <x:c r="AN5" s="22" t="str"/>
      <x:c r="AO5" s="22" t="str"/>
      <x:c r="AP5" s="22" t="str"/>
      <x:c r="AQ5" s="22" t="str"/>
      <x:c r="AR5" s="22" t="str"/>
      <x:c r="AS5" s="22" t="str"/>
      <x:c r="AT5" s="22" t="str"/>
      <x:c r="AU5" s="22" t="str"/>
      <x:c r="AV5" s="22" t="str"/>
      <x:c r="AW5" s="22" t="str"/>
      <x:c r="AX5" s="22" t="str"/>
      <x:c r="AY5" s="22" t="str"/>
      <x:c r="AZ5" s="22" t="str"/>
      <x:c r="BA5" s="22" t="str"/>
      <x:c r="BB5" s="22" t="str"/>
      <x:c r="BC5" s="22" t="str"/>
      <x:c r="BD5" s="22" t="str"/>
      <x:c r="BE5" s="22" t="str"/>
      <x:c r="BF5" s="22" t="str"/>
      <x:c r="BG5" s="22" t="str"/>
      <x:c r="BH5" s="22" t="str"/>
      <x:c r="BI5" s="22" t="str">
        <x:v>All Genders</x:v>
      </x:c>
      <x:c r="BJ5" s="22" t="str"/>
      <x:c r="BK5" s="22" t="str">
        <x:v>Wellness;Mass Market</x:v>
      </x:c>
      <x:c r="BL5" s="22" t="str"/>
      <x:c r="BM5" s="22" t="str"/>
      <x:c r="BN5" s="22" t="str"/>
      <x:c r="BO5" s="22" t="str"/>
      <x:c r="BP5" s="22" t="str"/>
      <x:c r="BQ5" s="22" t="str"/>
      <x:c r="BR5" s="22" t="str"/>
      <x:c r="BS5" s="22" t="str">
        <x:v>Minimal;Wellness</x:v>
      </x:c>
      <x:c r="BT5" s="22" t="str">
        <x:v>Minimal;Wellness</x:v>
      </x:c>
      <x:c r="BU5" s="22" t="str"/>
      <x:c r="BV5" s="22" t="str"/>
      <x:c r="BW5" s="22" t="str"/>
      <x:c r="BX5" s="22" t="str"/>
      <x:c r="BY5" s="22" t="str"/>
      <x:c r="BZ5" s="22" t="str"/>
      <x:c r="CA5" s="22" t="str"/>
      <x:c r="CB5" s="22" t="str"/>
      <x:c r="CC5" s="22" t="str">
        <x:v>Other</x:v>
      </x:c>
      <x:c r="CD5" s="22" t="str"/>
      <x:c r="CE5" s="22" t="str"/>
      <x:c r="CF5" s="22" t="str"/>
      <x:c r="CG5" s="22" t="str"/>
      <x:c r="CH5" s="22" t="str"/>
      <x:c r="CI5" s="22" t="str"/>
      <x:c r="CJ5" s="22" t="str"/>
      <x:c r="CK5" s="22" t="str"/>
      <x:c r="CL5" s="22" t="str"/>
      <x:c r="CM5" s="22" t="str"/>
      <x:c r="CN5" s="22" t="str"/>
      <x:c r="CO5" s="22" t="str"/>
      <x:c r="CP5" s="22" t="str"/>
      <x:c r="CQ5" s="22" t="str"/>
      <x:c r="CR5" s="22" t="str"/>
      <x:c r="CS5" s="22" t="str"/>
      <x:c r="CT5" s="22" t="str"/>
      <x:c r="CU5" s="22" t="str"/>
      <x:c r="CV5" s="22" t="str"/>
      <x:c r="CW5" s="22" t="str"/>
      <x:c r="CX5" s="22" t="str"/>
      <x:c r="CY5" s="22" t="str"/>
      <x:c r="CZ5" s="22" t="str"/>
      <x:c r="DA5" s="22" t="str"/>
      <x:c r="DB5" s="22" t="str"/>
      <x:c r="DC5" s="22" t="str"/>
      <x:c r="DD5" s="22" t="str"/>
      <x:c r="DE5" s="22" t="str"/>
      <x:c r="DF5" s="22" t="str"/>
      <x:c r="DG5" s="22" t="str"/>
      <x:c r="DH5" s="22" t="str"/>
      <x:c r="DI5" s="22" t="str"/>
      <x:c r="DJ5" s="22" t="str"/>
      <x:c r="DK5" s="22" t="str"/>
      <x:c r="DL5" s="22" t="str"/>
      <x:c r="DM5" s="22" t="str"/>
      <x:c r="DN5" s="22" t="str"/>
      <x:c r="DO5" s="22" t="str"/>
      <x:c r="DP5" s="22" t="str"/>
      <x:c r="DQ5" s="22" t="str"/>
      <x:c r="DR5" s="22" t="str"/>
      <x:c r="DS5" s="22" t="str"/>
      <x:c r="DT5" s="22" t="str"/>
      <x:c r="DU5" s="22" t="str"/>
      <x:c r="DV5" s="22" t="str"/>
      <x:c r="DW5" s="22" t="str"/>
      <x:c r="DX5" s="22" t="str"/>
      <x:c r="DY5" s="22" t="str"/>
      <x:c r="DZ5" s="22" t="str"/>
      <x:c r="EA5" s="22" t="str"/>
      <x:c r="EB5" s="22" t="str"/>
      <x:c r="EC5" s="22" t="str">
        <x:v>Mid-Premium</x:v>
      </x:c>
      <x:c r="ED5" s="22" t="str"/>
      <x:c r="EE5" s="22" t="n">
        <x:v>1000</x:v>
      </x:c>
      <x:c r="EF5" s="22" t="str"/>
      <x:c r="EG5" s="22" t="str"/>
      <x:c r="EH5" s="22" t="str"/>
      <x:c r="EI5" s="22" t="str"/>
      <x:c r="EJ5" s="22" t="str"/>
      <x:c r="EK5" s="22" t="str"/>
      <x:c r="EL5" s="22" t="str"/>
      <x:c r="EM5" s="22" t="str"/>
      <x:c r="EN5" s="22" t="str"/>
      <x:c r="EO5" s="22" t="str"/>
      <x:c r="EP5" s="22" t="str"/>
      <x:c r="EQ5" s="22" t="str"/>
      <x:c r="ER5" s="22" t="str"/>
      <x:c r="ES5" s="22" t="str"/>
      <x:c r="ET5" s="22" t="str"/>
      <x:c r="EU5" s="22" t="str"/>
      <x:c r="EV5" s="22" t="str"/>
      <x:c r="EW5" s="22" t="str"/>
      <x:c r="EX5" s="22" t="str">
        <x:v>Yes</x:v>
      </x:c>
      <x:c r="EY5" s="22" t="str">
        <x:v>No</x:v>
      </x:c>
      <x:c r="EZ5" s="22" t="str"/>
      <x:c r="FA5" s="22" t="str"/>
      <x:c r="FB5" s="22" t="str"/>
      <x:c r="FC5" s="22" t="str"/>
      <x:c r="FD5" s="22" t="str"/>
      <x:c r="FE5" s="22" t="str"/>
      <x:c r="FF5" s="22" t="str"/>
      <x:c r="FG5" s="22" t="str"/>
      <x:c r="FH5" s="22" t="str"/>
      <x:c r="FI5" s="22" t="str"/>
      <x:c r="FJ5" s="22" t="str"/>
      <x:c r="FK5" s="22" t="str"/>
      <x:c r="FL5" s="22" t="str">
        <x:v>/media/EXAMPLE-W01/hero.webp</x:v>
      </x:c>
      <x:c r="FM5" s="22" t="str"/>
      <x:c r="FN5" s="22" t="str"/>
      <x:c r="FO5" s="22" t="str"/>
      <x:c r="FP5" s="22" t="str"/>
      <x:c r="FQ5" s="22" t="str"/>
      <x:c r="FR5" s="22" t="str"/>
      <x:c r="FS5" s="22" t="str"/>
      <x:c r="FT5" s="22" t="str"/>
      <x:c r="FU5" s="22" t="str"/>
      <x:c r="FV5" s="22" t="str"/>
      <x:c r="FW5" s="22" t="str"/>
      <x:c r="FX5" s="22" t="str"/>
      <x:c r="FY5" s="22" t="str"/>
      <x:c r="FZ5" s="22" t="str"/>
      <x:c r="GA5" s="22" t="str"/>
      <x:c r="GB5" s="22" t="str"/>
      <x:c r="GC5" s="22" t="str"/>
      <x:c r="GD5" s="22" t="str"/>
      <x:c r="GE5" s="22" t="str"/>
      <x:c r="GF5" s="22" t="str"/>
      <x:c r="GG5" s="22" t="n">
        <x:v>97</x:v>
      </x:c>
      <x:c r="GH5" s="22" t="n">
        <x:v>92</x:v>
      </x:c>
      <x:c r="GI5" s="22" t="n">
        <x:v>84</x:v>
      </x:c>
      <x:c r="GJ5" s="22" t="n">
        <x:v>78</x:v>
      </x:c>
      <x:c r="GK5" s="22" t="n">
        <x:v>95</x:v>
      </x:c>
      <x:c r="GL5" s="22" t="n">
        <x:v>94</x:v>
      </x:c>
      <x:c r="GM5" s="22" t="n">
        <x:v>87</x:v>
      </x:c>
      <x:c r="GN5" s="22" t="n">
        <x:f>IF(COUNTA(GH5,GI5,GJ5,GK5,GL5,GM5)=0,"",ROUND(GH5*20%+GI5*15%+GJ5*15%+GK5*20%+GL5*15%+GM5*15%,0))</x:f>
        <x:v>89</x:v>
      </x:c>
      <x:c r="GO5" s="22" t="n">
        <x:v>82</x:v>
      </x:c>
      <x:c r="GP5" s="22" t="n">
        <x:f>IF(COUNTA(GO5,GK5,GJ5,GL5,GM5)=0,"",ROUND(GO5*30%+GK5*25%+GJ5*20%+GL5*15%+GM5*10%,0))</x:f>
        <x:v>87</x:v>
      </x:c>
      <x:c r="GQ5" s="22" t="str"/>
      <x:c r="GR5" s="22" t="str"/>
      <x:c r="GS5" s="22" t="str"/>
      <x:c r="GT5" s="22" t="str"/>
      <x:c r="GU5" s="22" t="str"/>
      <x:c r="GV5" s="22" t="str"/>
      <x:c r="GW5" s="22" t="str"/>
      <x:c r="GX5" s="22" t="str"/>
      <x:c r="GY5" s="22" t="str"/>
      <x:c r="GZ5" s="22" t="str">
        <x:f>IF(GR5=0,"",GX5/GR5)</x:f>
      </x:c>
      <x:c r="HA5" s="22" t="str"/>
      <x:c r="HB5" s="22" t="str"/>
      <x:c r="HC5" s="22" t="str"/>
      <x:c r="HD5" s="22" t="str"/>
      <x:c r="HE5" s="22" t="str"/>
      <x:c r="HF5" s="22" t="str"/>
      <x:c r="HG5" s="22" t="str"/>
      <x:c r="HH5" s="22" t="str"/>
      <x:c r="HI5" s="22" t="str"/>
      <x:c r="HJ5" s="22" t="str"/>
      <x:c r="HK5" s="22" t="str"/>
      <x:c r="HL5" s="22" t="str"/>
      <x:c r="HM5" s="22" t="str"/>
      <x:c r="HN5" s="22" t="str"/>
      <x:c r="HO5" s="22" t="str"/>
      <x:c r="HP5" s="22" t="str"/>
      <x:c r="HQ5" s="22" t="str"/>
      <x:c r="HR5" s="22" t="str"/>
      <x:c r="HS5" s="22" t="str"/>
      <x:c r="HT5" s="22" t="str"/>
    </x:row>
    <x:row r="6">
      <x:c r="GN6" t="str">
        <x:f>IF(COUNTA(GH6,GI6,GJ6,GK6,GL6,GM6)=0,"",ROUND(GH6*20%+GI6*15%+GJ6*15%+GK6*20%+GL6*15%+GM6*15%,0))</x:f>
      </x:c>
      <x:c r="GP6" t="str">
        <x:f>IF(COUNTA(GO6,GK6,GJ6,GL6,GM6)=0,"",ROUND(GO6*30%+GK6*25%+GJ6*20%+GL6*15%+GM6*10%,0))</x:f>
      </x:c>
      <x:c r="GZ6" t="str">
        <x:f>IF(GR6=0,"",GX6/GR6)</x:f>
      </x:c>
    </x:row>
    <x:row r="7">
      <x:c r="GN7" t="str">
        <x:f>IF(COUNTA(GH7,GI7,GJ7,GK7,GL7,GM7)=0,"",ROUND(GH7*20%+GI7*15%+GJ7*15%+GK7*20%+GL7*15%+GM7*15%,0))</x:f>
      </x:c>
      <x:c r="GP7" t="str">
        <x:f>IF(COUNTA(GO7,GK7,GJ7,GL7,GM7)=0,"",ROUND(GO7*30%+GK7*25%+GJ7*20%+GL7*15%+GM7*10%,0))</x:f>
      </x:c>
      <x:c r="GZ7" t="str">
        <x:f>IF(GR7=0,"",GX7/GR7)</x:f>
      </x:c>
    </x:row>
    <x:row r="8">
      <x:c r="GN8" t="str">
        <x:f>IF(COUNTA(GH8,GI8,GJ8,GK8,GL8,GM8)=0,"",ROUND(GH8*20%+GI8*15%+GJ8*15%+GK8*20%+GL8*15%+GM8*15%,0))</x:f>
      </x:c>
      <x:c r="GP8" t="str">
        <x:f>IF(COUNTA(GO8,GK8,GJ8,GL8,GM8)=0,"",ROUND(GO8*30%+GK8*25%+GJ8*20%+GL8*15%+GM8*10%,0))</x:f>
      </x:c>
      <x:c r="GZ8" t="str">
        <x:f>IF(GR8=0,"",GX8/GR8)</x:f>
      </x:c>
    </x:row>
    <x:row r="9">
      <x:c r="GN9" t="str">
        <x:f>IF(COUNTA(GH9,GI9,GJ9,GK9,GL9,GM9)=0,"",ROUND(GH9*20%+GI9*15%+GJ9*15%+GK9*20%+GL9*15%+GM9*15%,0))</x:f>
      </x:c>
      <x:c r="GP9" t="str">
        <x:f>IF(COUNTA(GO9,GK9,GJ9,GL9,GM9)=0,"",ROUND(GO9*30%+GK9*25%+GJ9*20%+GL9*15%+GM9*10%,0))</x:f>
      </x:c>
      <x:c r="GZ9" t="str">
        <x:f>IF(GR9=0,"",GX9/GR9)</x:f>
      </x:c>
    </x:row>
    <x:row r="10">
      <x:c r="GN10" t="str">
        <x:f>IF(COUNTA(GH10,GI10,GJ10,GK10,GL10,GM10)=0,"",ROUND(GH10*20%+GI10*15%+GJ10*15%+GK10*20%+GL10*15%+GM10*15%,0))</x:f>
      </x:c>
      <x:c r="GP10" t="str">
        <x:f>IF(COUNTA(GO10,GK10,GJ10,GL10,GM10)=0,"",ROUND(GO10*30%+GK10*25%+GJ10*20%+GL10*15%+GM10*10%,0))</x:f>
      </x:c>
      <x:c r="GZ10" t="str">
        <x:f>IF(GR10=0,"",GX10/GR10)</x:f>
      </x:c>
    </x:row>
    <x:row r="11">
      <x:c r="GN11" t="str">
        <x:f>IF(COUNTA(GH11,GI11,GJ11,GK11,GL11,GM11)=0,"",ROUND(GH11*20%+GI11*15%+GJ11*15%+GK11*20%+GL11*15%+GM11*15%,0))</x:f>
      </x:c>
      <x:c r="GP11" t="str">
        <x:f>IF(COUNTA(GO11,GK11,GJ11,GL11,GM11)=0,"",ROUND(GO11*30%+GK11*25%+GJ11*20%+GL11*15%+GM11*10%,0))</x:f>
      </x:c>
      <x:c r="GZ11" t="str">
        <x:f>IF(GR11=0,"",GX11/GR11)</x:f>
      </x:c>
    </x:row>
    <x:row r="12">
      <x:c r="GN12" t="str">
        <x:f>IF(COUNTA(GH12,GI12,GJ12,GK12,GL12,GM12)=0,"",ROUND(GH12*20%+GI12*15%+GJ12*15%+GK12*20%+GL12*15%+GM12*15%,0))</x:f>
      </x:c>
      <x:c r="GP12" t="str">
        <x:f>IF(COUNTA(GO12,GK12,GJ12,GL12,GM12)=0,"",ROUND(GO12*30%+GK12*25%+GJ12*20%+GL12*15%+GM12*10%,0))</x:f>
      </x:c>
      <x:c r="GZ12" t="str">
        <x:f>IF(GR12=0,"",GX12/GR12)</x:f>
      </x:c>
    </x:row>
    <x:row r="13">
      <x:c r="GN13" t="str">
        <x:f>IF(COUNTA(GH13,GI13,GJ13,GK13,GL13,GM13)=0,"",ROUND(GH13*20%+GI13*15%+GJ13*15%+GK13*20%+GL13*15%+GM13*15%,0))</x:f>
      </x:c>
      <x:c r="GP13" t="str">
        <x:f>IF(COUNTA(GO13,GK13,GJ13,GL13,GM13)=0,"",ROUND(GO13*30%+GK13*25%+GJ13*20%+GL13*15%+GM13*10%,0))</x:f>
      </x:c>
      <x:c r="GZ13" t="str">
        <x:f>IF(GR13=0,"",GX13/GR13)</x:f>
      </x:c>
    </x:row>
    <x:row r="14">
      <x:c r="GN14" t="str">
        <x:f>IF(COUNTA(GH14,GI14,GJ14,GK14,GL14,GM14)=0,"",ROUND(GH14*20%+GI14*15%+GJ14*15%+GK14*20%+GL14*15%+GM14*15%,0))</x:f>
      </x:c>
      <x:c r="GP14" t="str">
        <x:f>IF(COUNTA(GO14,GK14,GJ14,GL14,GM14)=0,"",ROUND(GO14*30%+GK14*25%+GJ14*20%+GL14*15%+GM14*10%,0))</x:f>
      </x:c>
      <x:c r="GZ14" t="str">
        <x:f>IF(GR14=0,"",GX14/GR14)</x:f>
      </x:c>
    </x:row>
    <x:row r="15">
      <x:c r="GN15" t="str">
        <x:f>IF(COUNTA(GH15,GI15,GJ15,GK15,GL15,GM15)=0,"",ROUND(GH15*20%+GI15*15%+GJ15*15%+GK15*20%+GL15*15%+GM15*15%,0))</x:f>
      </x:c>
      <x:c r="GP15" t="str">
        <x:f>IF(COUNTA(GO15,GK15,GJ15,GL15,GM15)=0,"",ROUND(GO15*30%+GK15*25%+GJ15*20%+GL15*15%+GM15*10%,0))</x:f>
      </x:c>
      <x:c r="GZ15" t="str">
        <x:f>IF(GR15=0,"",GX15/GR15)</x:f>
      </x:c>
    </x:row>
    <x:row r="16">
      <x:c r="GN16" t="str">
        <x:f>IF(COUNTA(GH16,GI16,GJ16,GK16,GL16,GM16)=0,"",ROUND(GH16*20%+GI16*15%+GJ16*15%+GK16*20%+GL16*15%+GM16*15%,0))</x:f>
      </x:c>
      <x:c r="GP16" t="str">
        <x:f>IF(COUNTA(GO16,GK16,GJ16,GL16,GM16)=0,"",ROUND(GO16*30%+GK16*25%+GJ16*20%+GL16*15%+GM16*10%,0))</x:f>
      </x:c>
      <x:c r="GZ16" t="str">
        <x:f>IF(GR16=0,"",GX16/GR16)</x:f>
      </x:c>
    </x:row>
    <x:row r="17">
      <x:c r="GN17" t="str">
        <x:f>IF(COUNTA(GH17,GI17,GJ17,GK17,GL17,GM17)=0,"",ROUND(GH17*20%+GI17*15%+GJ17*15%+GK17*20%+GL17*15%+GM17*15%,0))</x:f>
      </x:c>
      <x:c r="GP17" t="str">
        <x:f>IF(COUNTA(GO17,GK17,GJ17,GL17,GM17)=0,"",ROUND(GO17*30%+GK17*25%+GJ17*20%+GL17*15%+GM17*10%,0))</x:f>
      </x:c>
      <x:c r="GZ17" t="str">
        <x:f>IF(GR17=0,"",GX17/GR17)</x:f>
      </x:c>
    </x:row>
    <x:row r="18">
      <x:c r="GN18" t="str">
        <x:f>IF(COUNTA(GH18,GI18,GJ18,GK18,GL18,GM18)=0,"",ROUND(GH18*20%+GI18*15%+GJ18*15%+GK18*20%+GL18*15%+GM18*15%,0))</x:f>
      </x:c>
      <x:c r="GP18" t="str">
        <x:f>IF(COUNTA(GO18,GK18,GJ18,GL18,GM18)=0,"",ROUND(GO18*30%+GK18*25%+GJ18*20%+GL18*15%+GM18*10%,0))</x:f>
      </x:c>
      <x:c r="GZ18" t="str">
        <x:f>IF(GR18=0,"",GX18/GR18)</x:f>
      </x:c>
    </x:row>
    <x:row r="19">
      <x:c r="GN19" t="str">
        <x:f>IF(COUNTA(GH19,GI19,GJ19,GK19,GL19,GM19)=0,"",ROUND(GH19*20%+GI19*15%+GJ19*15%+GK19*20%+GL19*15%+GM19*15%,0))</x:f>
      </x:c>
      <x:c r="GP19" t="str">
        <x:f>IF(COUNTA(GO19,GK19,GJ19,GL19,GM19)=0,"",ROUND(GO19*30%+GK19*25%+GJ19*20%+GL19*15%+GM19*10%,0))</x:f>
      </x:c>
      <x:c r="GZ19" t="str">
        <x:f>IF(GR19=0,"",GX19/GR19)</x:f>
      </x:c>
    </x:row>
    <x:row r="20">
      <x:c r="GN20" t="str">
        <x:f>IF(COUNTA(GH20,GI20,GJ20,GK20,GL20,GM20)=0,"",ROUND(GH20*20%+GI20*15%+GJ20*15%+GK20*20%+GL20*15%+GM20*15%,0))</x:f>
      </x:c>
      <x:c r="GP20" t="str">
        <x:f>IF(COUNTA(GO20,GK20,GJ20,GL20,GM20)=0,"",ROUND(GO20*30%+GK20*25%+GJ20*20%+GL20*15%+GM20*10%,0))</x:f>
      </x:c>
      <x:c r="GZ20" t="str">
        <x:f>IF(GR20=0,"",GX20/GR20)</x:f>
      </x:c>
    </x:row>
    <x:row r="21">
      <x:c r="GN21" t="str">
        <x:f>IF(COUNTA(GH21,GI21,GJ21,GK21,GL21,GM21)=0,"",ROUND(GH21*20%+GI21*15%+GJ21*15%+GK21*20%+GL21*15%+GM21*15%,0))</x:f>
      </x:c>
      <x:c r="GP21" t="str">
        <x:f>IF(COUNTA(GO21,GK21,GJ21,GL21,GM21)=0,"",ROUND(GO21*30%+GK21*25%+GJ21*20%+GL21*15%+GM21*10%,0))</x:f>
      </x:c>
      <x:c r="GZ21" t="str">
        <x:f>IF(GR21=0,"",GX21/GR21)</x:f>
      </x:c>
    </x:row>
    <x:row r="22">
      <x:c r="GN22" t="str">
        <x:f>IF(COUNTA(GH22,GI22,GJ22,GK22,GL22,GM22)=0,"",ROUND(GH22*20%+GI22*15%+GJ22*15%+GK22*20%+GL22*15%+GM22*15%,0))</x:f>
      </x:c>
      <x:c r="GP22" t="str">
        <x:f>IF(COUNTA(GO22,GK22,GJ22,GL22,GM22)=0,"",ROUND(GO22*30%+GK22*25%+GJ22*20%+GL22*15%+GM22*10%,0))</x:f>
      </x:c>
      <x:c r="GZ22" t="str">
        <x:f>IF(GR22=0,"",GX22/GR22)</x:f>
      </x:c>
    </x:row>
    <x:row r="23">
      <x:c r="GN23" t="str">
        <x:f>IF(COUNTA(GH23,GI23,GJ23,GK23,GL23,GM23)=0,"",ROUND(GH23*20%+GI23*15%+GJ23*15%+GK23*20%+GL23*15%+GM23*15%,0))</x:f>
      </x:c>
      <x:c r="GP23" t="str">
        <x:f>IF(COUNTA(GO23,GK23,GJ23,GL23,GM23)=0,"",ROUND(GO23*30%+GK23*25%+GJ23*20%+GL23*15%+GM23*10%,0))</x:f>
      </x:c>
      <x:c r="GZ23" t="str">
        <x:f>IF(GR23=0,"",GX23/GR23)</x:f>
      </x:c>
    </x:row>
    <x:row r="24">
      <x:c r="GN24" t="str">
        <x:f>IF(COUNTA(GH24,GI24,GJ24,GK24,GL24,GM24)=0,"",ROUND(GH24*20%+GI24*15%+GJ24*15%+GK24*20%+GL24*15%+GM24*15%,0))</x:f>
      </x:c>
      <x:c r="GP24" t="str">
        <x:f>IF(COUNTA(GO24,GK24,GJ24,GL24,GM24)=0,"",ROUND(GO24*30%+GK24*25%+GJ24*20%+GL24*15%+GM24*10%,0))</x:f>
      </x:c>
      <x:c r="GZ24" t="str">
        <x:f>IF(GR24=0,"",GX24/GR24)</x:f>
      </x:c>
    </x:row>
    <x:row r="25">
      <x:c r="GN25" t="str">
        <x:f>IF(COUNTA(GH25,GI25,GJ25,GK25,GL25,GM25)=0,"",ROUND(GH25*20%+GI25*15%+GJ25*15%+GK25*20%+GL25*15%+GM25*15%,0))</x:f>
      </x:c>
      <x:c r="GP25" t="str">
        <x:f>IF(COUNTA(GO25,GK25,GJ25,GL25,GM25)=0,"",ROUND(GO25*30%+GK25*25%+GJ25*20%+GL25*15%+GM25*10%,0))</x:f>
      </x:c>
      <x:c r="GZ25" t="str">
        <x:f>IF(GR25=0,"",GX25/GR25)</x:f>
      </x:c>
    </x:row>
    <x:row r="26">
      <x:c r="GN26" t="str">
        <x:f>IF(COUNTA(GH26,GI26,GJ26,GK26,GL26,GM26)=0,"",ROUND(GH26*20%+GI26*15%+GJ26*15%+GK26*20%+GL26*15%+GM26*15%,0))</x:f>
      </x:c>
      <x:c r="GP26" t="str">
        <x:f>IF(COUNTA(GO26,GK26,GJ26,GL26,GM26)=0,"",ROUND(GO26*30%+GK26*25%+GJ26*20%+GL26*15%+GM26*10%,0))</x:f>
      </x:c>
      <x:c r="GZ26" t="str">
        <x:f>IF(GR26=0,"",GX26/GR26)</x:f>
      </x:c>
    </x:row>
    <x:row r="27">
      <x:c r="GN27" t="str">
        <x:f>IF(COUNTA(GH27,GI27,GJ27,GK27,GL27,GM27)=0,"",ROUND(GH27*20%+GI27*15%+GJ27*15%+GK27*20%+GL27*15%+GM27*15%,0))</x:f>
      </x:c>
      <x:c r="GP27" t="str">
        <x:f>IF(COUNTA(GO27,GK27,GJ27,GL27,GM27)=0,"",ROUND(GO27*30%+GK27*25%+GJ27*20%+GL27*15%+GM27*10%,0))</x:f>
      </x:c>
      <x:c r="GZ27" t="str">
        <x:f>IF(GR27=0,"",GX27/GR27)</x:f>
      </x:c>
    </x:row>
    <x:row r="28">
      <x:c r="GN28" t="str">
        <x:f>IF(COUNTA(GH28,GI28,GJ28,GK28,GL28,GM28)=0,"",ROUND(GH28*20%+GI28*15%+GJ28*15%+GK28*20%+GL28*15%+GM28*15%,0))</x:f>
      </x:c>
      <x:c r="GP28" t="str">
        <x:f>IF(COUNTA(GO28,GK28,GJ28,GL28,GM28)=0,"",ROUND(GO28*30%+GK28*25%+GJ28*20%+GL28*15%+GM28*10%,0))</x:f>
      </x:c>
      <x:c r="GZ28" t="str">
        <x:f>IF(GR28=0,"",GX28/GR28)</x:f>
      </x:c>
    </x:row>
    <x:row r="29">
      <x:c r="GN29" t="str">
        <x:f>IF(COUNTA(GH29,GI29,GJ29,GK29,GL29,GM29)=0,"",ROUND(GH29*20%+GI29*15%+GJ29*15%+GK29*20%+GL29*15%+GM29*15%,0))</x:f>
      </x:c>
      <x:c r="GP29" t="str">
        <x:f>IF(COUNTA(GO29,GK29,GJ29,GL29,GM29)=0,"",ROUND(GO29*30%+GK29*25%+GJ29*20%+GL29*15%+GM29*10%,0))</x:f>
      </x:c>
      <x:c r="GZ29" t="str">
        <x:f>IF(GR29=0,"",GX29/GR29)</x:f>
      </x:c>
    </x:row>
    <x:row r="30">
      <x:c r="GN30" t="str">
        <x:f>IF(COUNTA(GH30,GI30,GJ30,GK30,GL30,GM30)=0,"",ROUND(GH30*20%+GI30*15%+GJ30*15%+GK30*20%+GL30*15%+GM30*15%,0))</x:f>
      </x:c>
      <x:c r="GP30" t="str">
        <x:f>IF(COUNTA(GO30,GK30,GJ30,GL30,GM30)=0,"",ROUND(GO30*30%+GK30*25%+GJ30*20%+GL30*15%+GM30*10%,0))</x:f>
      </x:c>
      <x:c r="GZ30" t="str">
        <x:f>IF(GR30=0,"",GX30/GR30)</x:f>
      </x:c>
    </x:row>
    <x:row r="31">
      <x:c r="GN31" t="str">
        <x:f>IF(COUNTA(GH31,GI31,GJ31,GK31,GL31,GM31)=0,"",ROUND(GH31*20%+GI31*15%+GJ31*15%+GK31*20%+GL31*15%+GM31*15%,0))</x:f>
      </x:c>
      <x:c r="GP31" t="str">
        <x:f>IF(COUNTA(GO31,GK31,GJ31,GL31,GM31)=0,"",ROUND(GO31*30%+GK31*25%+GJ31*20%+GL31*15%+GM31*10%,0))</x:f>
      </x:c>
      <x:c r="GZ31" t="str">
        <x:f>IF(GR31=0,"",GX31/GR31)</x:f>
      </x:c>
    </x:row>
    <x:row r="32">
      <x:c r="GN32" t="str">
        <x:f>IF(COUNTA(GH32,GI32,GJ32,GK32,GL32,GM32)=0,"",ROUND(GH32*20%+GI32*15%+GJ32*15%+GK32*20%+GL32*15%+GM32*15%,0))</x:f>
      </x:c>
      <x:c r="GP32" t="str">
        <x:f>IF(COUNTA(GO32,GK32,GJ32,GL32,GM32)=0,"",ROUND(GO32*30%+GK32*25%+GJ32*20%+GL32*15%+GM32*10%,0))</x:f>
      </x:c>
      <x:c r="GZ32" t="str">
        <x:f>IF(GR32=0,"",GX32/GR32)</x:f>
      </x:c>
    </x:row>
    <x:row r="33">
      <x:c r="GN33" t="str">
        <x:f>IF(COUNTA(GH33,GI33,GJ33,GK33,GL33,GM33)=0,"",ROUND(GH33*20%+GI33*15%+GJ33*15%+GK33*20%+GL33*15%+GM33*15%,0))</x:f>
      </x:c>
      <x:c r="GP33" t="str">
        <x:f>IF(COUNTA(GO33,GK33,GJ33,GL33,GM33)=0,"",ROUND(GO33*30%+GK33*25%+GJ33*20%+GL33*15%+GM33*10%,0))</x:f>
      </x:c>
      <x:c r="GZ33" t="str">
        <x:f>IF(GR33=0,"",GX33/GR33)</x:f>
      </x:c>
    </x:row>
    <x:row r="34">
      <x:c r="GN34" t="str">
        <x:f>IF(COUNTA(GH34,GI34,GJ34,GK34,GL34,GM34)=0,"",ROUND(GH34*20%+GI34*15%+GJ34*15%+GK34*20%+GL34*15%+GM34*15%,0))</x:f>
      </x:c>
      <x:c r="GP34" t="str">
        <x:f>IF(COUNTA(GO34,GK34,GJ34,GL34,GM34)=0,"",ROUND(GO34*30%+GK34*25%+GJ34*20%+GL34*15%+GM34*10%,0))</x:f>
      </x:c>
      <x:c r="GZ34" t="str">
        <x:f>IF(GR34=0,"",GX34/GR34)</x:f>
      </x:c>
    </x:row>
    <x:row r="35">
      <x:c r="GN35" t="str">
        <x:f>IF(COUNTA(GH35,GI35,GJ35,GK35,GL35,GM35)=0,"",ROUND(GH35*20%+GI35*15%+GJ35*15%+GK35*20%+GL35*15%+GM35*15%,0))</x:f>
      </x:c>
      <x:c r="GP35" t="str">
        <x:f>IF(COUNTA(GO35,GK35,GJ35,GL35,GM35)=0,"",ROUND(GO35*30%+GK35*25%+GJ35*20%+GL35*15%+GM35*10%,0))</x:f>
      </x:c>
      <x:c r="GZ35" t="str">
        <x:f>IF(GR35=0,"",GX35/GR35)</x:f>
      </x:c>
    </x:row>
    <x:row r="36">
      <x:c r="GN36" t="str">
        <x:f>IF(COUNTA(GH36,GI36,GJ36,GK36,GL36,GM36)=0,"",ROUND(GH36*20%+GI36*15%+GJ36*15%+GK36*20%+GL36*15%+GM36*15%,0))</x:f>
      </x:c>
      <x:c r="GP36" t="str">
        <x:f>IF(COUNTA(GO36,GK36,GJ36,GL36,GM36)=0,"",ROUND(GO36*30%+GK36*25%+GJ36*20%+GL36*15%+GM36*10%,0))</x:f>
      </x:c>
      <x:c r="GZ36" t="str">
        <x:f>IF(GR36=0,"",GX36/GR36)</x:f>
      </x:c>
    </x:row>
    <x:row r="37">
      <x:c r="GN37" t="str">
        <x:f>IF(COUNTA(GH37,GI37,GJ37,GK37,GL37,GM37)=0,"",ROUND(GH37*20%+GI37*15%+GJ37*15%+GK37*20%+GL37*15%+GM37*15%,0))</x:f>
      </x:c>
      <x:c r="GP37" t="str">
        <x:f>IF(COUNTA(GO37,GK37,GJ37,GL37,GM37)=0,"",ROUND(GO37*30%+GK37*25%+GJ37*20%+GL37*15%+GM37*10%,0))</x:f>
      </x:c>
      <x:c r="GZ37" t="str">
        <x:f>IF(GR37=0,"",GX37/GR37)</x:f>
      </x:c>
    </x:row>
    <x:row r="38">
      <x:c r="GN38" t="str">
        <x:f>IF(COUNTA(GH38,GI38,GJ38,GK38,GL38,GM38)=0,"",ROUND(GH38*20%+GI38*15%+GJ38*15%+GK38*20%+GL38*15%+GM38*15%,0))</x:f>
      </x:c>
      <x:c r="GP38" t="str">
        <x:f>IF(COUNTA(GO38,GK38,GJ38,GL38,GM38)=0,"",ROUND(GO38*30%+GK38*25%+GJ38*20%+GL38*15%+GM38*10%,0))</x:f>
      </x:c>
      <x:c r="GZ38" t="str">
        <x:f>IF(GR38=0,"",GX38/GR38)</x:f>
      </x:c>
    </x:row>
    <x:row r="39">
      <x:c r="GN39" t="str">
        <x:f>IF(COUNTA(GH39,GI39,GJ39,GK39,GL39,GM39)=0,"",ROUND(GH39*20%+GI39*15%+GJ39*15%+GK39*20%+GL39*15%+GM39*15%,0))</x:f>
      </x:c>
      <x:c r="GP39" t="str">
        <x:f>IF(COUNTA(GO39,GK39,GJ39,GL39,GM39)=0,"",ROUND(GO39*30%+GK39*25%+GJ39*20%+GL39*15%+GM39*10%,0))</x:f>
      </x:c>
      <x:c r="GZ39" t="str">
        <x:f>IF(GR39=0,"",GX39/GR39)</x:f>
      </x:c>
    </x:row>
    <x:row r="40">
      <x:c r="GN40" t="str">
        <x:f>IF(COUNTA(GH40,GI40,GJ40,GK40,GL40,GM40)=0,"",ROUND(GH40*20%+GI40*15%+GJ40*15%+GK40*20%+GL40*15%+GM40*15%,0))</x:f>
      </x:c>
      <x:c r="GP40" t="str">
        <x:f>IF(COUNTA(GO40,GK40,GJ40,GL40,GM40)=0,"",ROUND(GO40*30%+GK40*25%+GJ40*20%+GL40*15%+GM40*10%,0))</x:f>
      </x:c>
      <x:c r="GZ40" t="str">
        <x:f>IF(GR40=0,"",GX40/GR40)</x:f>
      </x:c>
    </x:row>
    <x:row r="41">
      <x:c r="GN41" t="str">
        <x:f>IF(COUNTA(GH41,GI41,GJ41,GK41,GL41,GM41)=0,"",ROUND(GH41*20%+GI41*15%+GJ41*15%+GK41*20%+GL41*15%+GM41*15%,0))</x:f>
      </x:c>
      <x:c r="GP41" t="str">
        <x:f>IF(COUNTA(GO41,GK41,GJ41,GL41,GM41)=0,"",ROUND(GO41*30%+GK41*25%+GJ41*20%+GL41*15%+GM41*10%,0))</x:f>
      </x:c>
      <x:c r="GZ41" t="str">
        <x:f>IF(GR41=0,"",GX41/GR41)</x:f>
      </x:c>
    </x:row>
    <x:row r="42">
      <x:c r="GN42" t="str">
        <x:f>IF(COUNTA(GH42,GI42,GJ42,GK42,GL42,GM42)=0,"",ROUND(GH42*20%+GI42*15%+GJ42*15%+GK42*20%+GL42*15%+GM42*15%,0))</x:f>
      </x:c>
      <x:c r="GP42" t="str">
        <x:f>IF(COUNTA(GO42,GK42,GJ42,GL42,GM42)=0,"",ROUND(GO42*30%+GK42*25%+GJ42*20%+GL42*15%+GM42*10%,0))</x:f>
      </x:c>
      <x:c r="GZ42" t="str">
        <x:f>IF(GR42=0,"",GX42/GR42)</x:f>
      </x:c>
    </x:row>
    <x:row r="43">
      <x:c r="GN43" t="str">
        <x:f>IF(COUNTA(GH43,GI43,GJ43,GK43,GL43,GM43)=0,"",ROUND(GH43*20%+GI43*15%+GJ43*15%+GK43*20%+GL43*15%+GM43*15%,0))</x:f>
      </x:c>
      <x:c r="GP43" t="str">
        <x:f>IF(COUNTA(GO43,GK43,GJ43,GL43,GM43)=0,"",ROUND(GO43*30%+GK43*25%+GJ43*20%+GL43*15%+GM43*10%,0))</x:f>
      </x:c>
      <x:c r="GZ43" t="str">
        <x:f>IF(GR43=0,"",GX43/GR43)</x:f>
      </x:c>
    </x:row>
    <x:row r="44">
      <x:c r="GN44" t="str">
        <x:f>IF(COUNTA(GH44,GI44,GJ44,GK44,GL44,GM44)=0,"",ROUND(GH44*20%+GI44*15%+GJ44*15%+GK44*20%+GL44*15%+GM44*15%,0))</x:f>
      </x:c>
      <x:c r="GP44" t="str">
        <x:f>IF(COUNTA(GO44,GK44,GJ44,GL44,GM44)=0,"",ROUND(GO44*30%+GK44*25%+GJ44*20%+GL44*15%+GM44*10%,0))</x:f>
      </x:c>
      <x:c r="GZ44" t="str">
        <x:f>IF(GR44=0,"",GX44/GR44)</x:f>
      </x:c>
    </x:row>
    <x:row r="45">
      <x:c r="GN45" t="str">
        <x:f>IF(COUNTA(GH45,GI45,GJ45,GK45,GL45,GM45)=0,"",ROUND(GH45*20%+GI45*15%+GJ45*15%+GK45*20%+GL45*15%+GM45*15%,0))</x:f>
      </x:c>
      <x:c r="GP45" t="str">
        <x:f>IF(COUNTA(GO45,GK45,GJ45,GL45,GM45)=0,"",ROUND(GO45*30%+GK45*25%+GJ45*20%+GL45*15%+GM45*10%,0))</x:f>
      </x:c>
      <x:c r="GZ45" t="str">
        <x:f>IF(GR45=0,"",GX45/GR45)</x:f>
      </x:c>
    </x:row>
    <x:row r="46">
      <x:c r="GN46" t="str">
        <x:f>IF(COUNTA(GH46,GI46,GJ46,GK46,GL46,GM46)=0,"",ROUND(GH46*20%+GI46*15%+GJ46*15%+GK46*20%+GL46*15%+GM46*15%,0))</x:f>
      </x:c>
      <x:c r="GP46" t="str">
        <x:f>IF(COUNTA(GO46,GK46,GJ46,GL46,GM46)=0,"",ROUND(GO46*30%+GK46*25%+GJ46*20%+GL46*15%+GM46*10%,0))</x:f>
      </x:c>
      <x:c r="GZ46" t="str">
        <x:f>IF(GR46=0,"",GX46/GR46)</x:f>
      </x:c>
    </x:row>
    <x:row r="47">
      <x:c r="GN47" t="str">
        <x:f>IF(COUNTA(GH47,GI47,GJ47,GK47,GL47,GM47)=0,"",ROUND(GH47*20%+GI47*15%+GJ47*15%+GK47*20%+GL47*15%+GM47*15%,0))</x:f>
      </x:c>
      <x:c r="GP47" t="str">
        <x:f>IF(COUNTA(GO47,GK47,GJ47,GL47,GM47)=0,"",ROUND(GO47*30%+GK47*25%+GJ47*20%+GL47*15%+GM47*10%,0))</x:f>
      </x:c>
      <x:c r="GZ47" t="str">
        <x:f>IF(GR47=0,"",GX47/GR47)</x:f>
      </x:c>
    </x:row>
    <x:row r="48">
      <x:c r="GN48" t="str">
        <x:f>IF(COUNTA(GH48,GI48,GJ48,GK48,GL48,GM48)=0,"",ROUND(GH48*20%+GI48*15%+GJ48*15%+GK48*20%+GL48*15%+GM48*15%,0))</x:f>
      </x:c>
      <x:c r="GP48" t="str">
        <x:f>IF(COUNTA(GO48,GK48,GJ48,GL48,GM48)=0,"",ROUND(GO48*30%+GK48*25%+GJ48*20%+GL48*15%+GM48*10%,0))</x:f>
      </x:c>
      <x:c r="GZ48" t="str">
        <x:f>IF(GR48=0,"",GX48/GR48)</x:f>
      </x:c>
    </x:row>
    <x:row r="49">
      <x:c r="GN49" t="str">
        <x:f>IF(COUNTA(GH49,GI49,GJ49,GK49,GL49,GM49)=0,"",ROUND(GH49*20%+GI49*15%+GJ49*15%+GK49*20%+GL49*15%+GM49*15%,0))</x:f>
      </x:c>
      <x:c r="GP49" t="str">
        <x:f>IF(COUNTA(GO49,GK49,GJ49,GL49,GM49)=0,"",ROUND(GO49*30%+GK49*25%+GJ49*20%+GL49*15%+GM49*10%,0))</x:f>
      </x:c>
      <x:c r="GZ49" t="str">
        <x:f>IF(GR49=0,"",GX49/GR49)</x:f>
      </x:c>
    </x:row>
    <x:row r="50">
      <x:c r="GN50" t="str">
        <x:f>IF(COUNTA(GH50,GI50,GJ50,GK50,GL50,GM50)=0,"",ROUND(GH50*20%+GI50*15%+GJ50*15%+GK50*20%+GL50*15%+GM50*15%,0))</x:f>
      </x:c>
      <x:c r="GP50" t="str">
        <x:f>IF(COUNTA(GO50,GK50,GJ50,GL50,GM50)=0,"",ROUND(GO50*30%+GK50*25%+GJ50*20%+GL50*15%+GM50*10%,0))</x:f>
      </x:c>
      <x:c r="GZ50" t="str">
        <x:f>IF(GR50=0,"",GX50/GR50)</x:f>
      </x:c>
    </x:row>
    <x:row r="51">
      <x:c r="GN51" t="str">
        <x:f>IF(COUNTA(GH51,GI51,GJ51,GK51,GL51,GM51)=0,"",ROUND(GH51*20%+GI51*15%+GJ51*15%+GK51*20%+GL51*15%+GM51*15%,0))</x:f>
      </x:c>
      <x:c r="GP51" t="str">
        <x:f>IF(COUNTA(GO51,GK51,GJ51,GL51,GM51)=0,"",ROUND(GO51*30%+GK51*25%+GJ51*20%+GL51*15%+GM51*10%,0))</x:f>
      </x:c>
      <x:c r="GZ51" t="str">
        <x:f>IF(GR51=0,"",GX51/GR51)</x:f>
      </x:c>
    </x:row>
    <x:row r="52">
      <x:c r="GN52" t="str">
        <x:f>IF(COUNTA(GH52,GI52,GJ52,GK52,GL52,GM52)=0,"",ROUND(GH52*20%+GI52*15%+GJ52*15%+GK52*20%+GL52*15%+GM52*15%,0))</x:f>
      </x:c>
      <x:c r="GP52" t="str">
        <x:f>IF(COUNTA(GO52,GK52,GJ52,GL52,GM52)=0,"",ROUND(GO52*30%+GK52*25%+GJ52*20%+GL52*15%+GM52*10%,0))</x:f>
      </x:c>
      <x:c r="GZ52" t="str">
        <x:f>IF(GR52=0,"",GX52/GR52)</x:f>
      </x:c>
    </x:row>
    <x:row r="53">
      <x:c r="GN53" t="str">
        <x:f>IF(COUNTA(GH53,GI53,GJ53,GK53,GL53,GM53)=0,"",ROUND(GH53*20%+GI53*15%+GJ53*15%+GK53*20%+GL53*15%+GM53*15%,0))</x:f>
      </x:c>
      <x:c r="GP53" t="str">
        <x:f>IF(COUNTA(GO53,GK53,GJ53,GL53,GM53)=0,"",ROUND(GO53*30%+GK53*25%+GJ53*20%+GL53*15%+GM53*10%,0))</x:f>
      </x:c>
      <x:c r="GZ53" t="str">
        <x:f>IF(GR53=0,"",GX53/GR53)</x:f>
      </x:c>
    </x:row>
    <x:row r="54">
      <x:c r="GN54" t="str">
        <x:f>IF(COUNTA(GH54,GI54,GJ54,GK54,GL54,GM54)=0,"",ROUND(GH54*20%+GI54*15%+GJ54*15%+GK54*20%+GL54*15%+GM54*15%,0))</x:f>
      </x:c>
      <x:c r="GP54" t="str">
        <x:f>IF(COUNTA(GO54,GK54,GJ54,GL54,GM54)=0,"",ROUND(GO54*30%+GK54*25%+GJ54*20%+GL54*15%+GM54*10%,0))</x:f>
      </x:c>
      <x:c r="GZ54" t="str">
        <x:f>IF(GR54=0,"",GX54/GR54)</x:f>
      </x:c>
    </x:row>
    <x:row r="55">
      <x:c r="GN55" t="str">
        <x:f>IF(COUNTA(GH55,GI55,GJ55,GK55,GL55,GM55)=0,"",ROUND(GH55*20%+GI55*15%+GJ55*15%+GK55*20%+GL55*15%+GM55*15%,0))</x:f>
      </x:c>
      <x:c r="GP55" t="str">
        <x:f>IF(COUNTA(GO55,GK55,GJ55,GL55,GM55)=0,"",ROUND(GO55*30%+GK55*25%+GJ55*20%+GL55*15%+GM55*10%,0))</x:f>
      </x:c>
      <x:c r="GZ55" t="str">
        <x:f>IF(GR55=0,"",GX55/GR55)</x:f>
      </x:c>
    </x:row>
    <x:row r="56">
      <x:c r="GN56" t="str">
        <x:f>IF(COUNTA(GH56,GI56,GJ56,GK56,GL56,GM56)=0,"",ROUND(GH56*20%+GI56*15%+GJ56*15%+GK56*20%+GL56*15%+GM56*15%,0))</x:f>
      </x:c>
      <x:c r="GP56" t="str">
        <x:f>IF(COUNTA(GO56,GK56,GJ56,GL56,GM56)=0,"",ROUND(GO56*30%+GK56*25%+GJ56*20%+GL56*15%+GM56*10%,0))</x:f>
      </x:c>
      <x:c r="GZ56" t="str">
        <x:f>IF(GR56=0,"",GX56/GR56)</x:f>
      </x:c>
    </x:row>
    <x:row r="57">
      <x:c r="GN57" t="str">
        <x:f>IF(COUNTA(GH57,GI57,GJ57,GK57,GL57,GM57)=0,"",ROUND(GH57*20%+GI57*15%+GJ57*15%+GK57*20%+GL57*15%+GM57*15%,0))</x:f>
      </x:c>
      <x:c r="GP57" t="str">
        <x:f>IF(COUNTA(GO57,GK57,GJ57,GL57,GM57)=0,"",ROUND(GO57*30%+GK57*25%+GJ57*20%+GL57*15%+GM57*10%,0))</x:f>
      </x:c>
      <x:c r="GZ57" t="str">
        <x:f>IF(GR57=0,"",GX57/GR57)</x:f>
      </x:c>
    </x:row>
    <x:row r="58">
      <x:c r="GN58" t="str">
        <x:f>IF(COUNTA(GH58,GI58,GJ58,GK58,GL58,GM58)=0,"",ROUND(GH58*20%+GI58*15%+GJ58*15%+GK58*20%+GL58*15%+GM58*15%,0))</x:f>
      </x:c>
      <x:c r="GP58" t="str">
        <x:f>IF(COUNTA(GO58,GK58,GJ58,GL58,GM58)=0,"",ROUND(GO58*30%+GK58*25%+GJ58*20%+GL58*15%+GM58*10%,0))</x:f>
      </x:c>
      <x:c r="GZ58" t="str">
        <x:f>IF(GR58=0,"",GX58/GR58)</x:f>
      </x:c>
    </x:row>
    <x:row r="59">
      <x:c r="GN59" t="str">
        <x:f>IF(COUNTA(GH59,GI59,GJ59,GK59,GL59,GM59)=0,"",ROUND(GH59*20%+GI59*15%+GJ59*15%+GK59*20%+GL59*15%+GM59*15%,0))</x:f>
      </x:c>
      <x:c r="GP59" t="str">
        <x:f>IF(COUNTA(GO59,GK59,GJ59,GL59,GM59)=0,"",ROUND(GO59*30%+GK59*25%+GJ59*20%+GL59*15%+GM59*10%,0))</x:f>
      </x:c>
      <x:c r="GZ59" t="str">
        <x:f>IF(GR59=0,"",GX59/GR59)</x:f>
      </x:c>
    </x:row>
    <x:row r="60">
      <x:c r="GN60" t="str">
        <x:f>IF(COUNTA(GH60,GI60,GJ60,GK60,GL60,GM60)=0,"",ROUND(GH60*20%+GI60*15%+GJ60*15%+GK60*20%+GL60*15%+GM60*15%,0))</x:f>
      </x:c>
      <x:c r="GP60" t="str">
        <x:f>IF(COUNTA(GO60,GK60,GJ60,GL60,GM60)=0,"",ROUND(GO60*30%+GK60*25%+GJ60*20%+GL60*15%+GM60*10%,0))</x:f>
      </x:c>
      <x:c r="GZ60" t="str">
        <x:f>IF(GR60=0,"",GX60/GR60)</x:f>
      </x:c>
    </x:row>
    <x:row r="61">
      <x:c r="GN61" t="str">
        <x:f>IF(COUNTA(GH61,GI61,GJ61,GK61,GL61,GM61)=0,"",ROUND(GH61*20%+GI61*15%+GJ61*15%+GK61*20%+GL61*15%+GM61*15%,0))</x:f>
      </x:c>
      <x:c r="GP61" t="str">
        <x:f>IF(COUNTA(GO61,GK61,GJ61,GL61,GM61)=0,"",ROUND(GO61*30%+GK61*25%+GJ61*20%+GL61*15%+GM61*10%,0))</x:f>
      </x:c>
      <x:c r="GZ61" t="str">
        <x:f>IF(GR61=0,"",GX61/GR61)</x:f>
      </x:c>
    </x:row>
    <x:row r="62">
      <x:c r="GN62" t="str">
        <x:f>IF(COUNTA(GH62,GI62,GJ62,GK62,GL62,GM62)=0,"",ROUND(GH62*20%+GI62*15%+GJ62*15%+GK62*20%+GL62*15%+GM62*15%,0))</x:f>
      </x:c>
      <x:c r="GP62" t="str">
        <x:f>IF(COUNTA(GO62,GK62,GJ62,GL62,GM62)=0,"",ROUND(GO62*30%+GK62*25%+GJ62*20%+GL62*15%+GM62*10%,0))</x:f>
      </x:c>
      <x:c r="GZ62" t="str">
        <x:f>IF(GR62=0,"",GX62/GR62)</x:f>
      </x:c>
    </x:row>
    <x:row r="63">
      <x:c r="GN63" t="str">
        <x:f>IF(COUNTA(GH63,GI63,GJ63,GK63,GL63,GM63)=0,"",ROUND(GH63*20%+GI63*15%+GJ63*15%+GK63*20%+GL63*15%+GM63*15%,0))</x:f>
      </x:c>
      <x:c r="GP63" t="str">
        <x:f>IF(COUNTA(GO63,GK63,GJ63,GL63,GM63)=0,"",ROUND(GO63*30%+GK63*25%+GJ63*20%+GL63*15%+GM63*10%,0))</x:f>
      </x:c>
      <x:c r="GZ63" t="str">
        <x:f>IF(GR63=0,"",GX63/GR63)</x:f>
      </x:c>
    </x:row>
    <x:row r="64">
      <x:c r="GN64" t="str">
        <x:f>IF(COUNTA(GH64,GI64,GJ64,GK64,GL64,GM64)=0,"",ROUND(GH64*20%+GI64*15%+GJ64*15%+GK64*20%+GL64*15%+GM64*15%,0))</x:f>
      </x:c>
      <x:c r="GP64" t="str">
        <x:f>IF(COUNTA(GO64,GK64,GJ64,GL64,GM64)=0,"",ROUND(GO64*30%+GK64*25%+GJ64*20%+GL64*15%+GM64*10%,0))</x:f>
      </x:c>
      <x:c r="GZ64" t="str">
        <x:f>IF(GR64=0,"",GX64/GR64)</x:f>
      </x:c>
    </x:row>
    <x:row r="65">
      <x:c r="GN65" t="str">
        <x:f>IF(COUNTA(GH65,GI65,GJ65,GK65,GL65,GM65)=0,"",ROUND(GH65*20%+GI65*15%+GJ65*15%+GK65*20%+GL65*15%+GM65*15%,0))</x:f>
      </x:c>
      <x:c r="GP65" t="str">
        <x:f>IF(COUNTA(GO65,GK65,GJ65,GL65,GM65)=0,"",ROUND(GO65*30%+GK65*25%+GJ65*20%+GL65*15%+GM65*10%,0))</x:f>
      </x:c>
      <x:c r="GZ65" t="str">
        <x:f>IF(GR65=0,"",GX65/GR65)</x:f>
      </x:c>
    </x:row>
    <x:row r="66">
      <x:c r="GN66" t="str">
        <x:f>IF(COUNTA(GH66,GI66,GJ66,GK66,GL66,GM66)=0,"",ROUND(GH66*20%+GI66*15%+GJ66*15%+GK66*20%+GL66*15%+GM66*15%,0))</x:f>
      </x:c>
      <x:c r="GP66" t="str">
        <x:f>IF(COUNTA(GO66,GK66,GJ66,GL66,GM66)=0,"",ROUND(GO66*30%+GK66*25%+GJ66*20%+GL66*15%+GM66*10%,0))</x:f>
      </x:c>
      <x:c r="GZ66" t="str">
        <x:f>IF(GR66=0,"",GX66/GR66)</x:f>
      </x:c>
    </x:row>
    <x:row r="67">
      <x:c r="GN67" t="str">
        <x:f>IF(COUNTA(GH67,GI67,GJ67,GK67,GL67,GM67)=0,"",ROUND(GH67*20%+GI67*15%+GJ67*15%+GK67*20%+GL67*15%+GM67*15%,0))</x:f>
      </x:c>
      <x:c r="GP67" t="str">
        <x:f>IF(COUNTA(GO67,GK67,GJ67,GL67,GM67)=0,"",ROUND(GO67*30%+GK67*25%+GJ67*20%+GL67*15%+GM67*10%,0))</x:f>
      </x:c>
      <x:c r="GZ67" t="str">
        <x:f>IF(GR67=0,"",GX67/GR67)</x:f>
      </x:c>
    </x:row>
    <x:row r="68">
      <x:c r="GN68" t="str">
        <x:f>IF(COUNTA(GH68,GI68,GJ68,GK68,GL68,GM68)=0,"",ROUND(GH68*20%+GI68*15%+GJ68*15%+GK68*20%+GL68*15%+GM68*15%,0))</x:f>
      </x:c>
      <x:c r="GP68" t="str">
        <x:f>IF(COUNTA(GO68,GK68,GJ68,GL68,GM68)=0,"",ROUND(GO68*30%+GK68*25%+GJ68*20%+GL68*15%+GM68*10%,0))</x:f>
      </x:c>
      <x:c r="GZ68" t="str">
        <x:f>IF(GR68=0,"",GX68/GR68)</x:f>
      </x:c>
    </x:row>
    <x:row r="69">
      <x:c r="GN69" t="str">
        <x:f>IF(COUNTA(GH69,GI69,GJ69,GK69,GL69,GM69)=0,"",ROUND(GH69*20%+GI69*15%+GJ69*15%+GK69*20%+GL69*15%+GM69*15%,0))</x:f>
      </x:c>
      <x:c r="GP69" t="str">
        <x:f>IF(COUNTA(GO69,GK69,GJ69,GL69,GM69)=0,"",ROUND(GO69*30%+GK69*25%+GJ69*20%+GL69*15%+GM69*10%,0))</x:f>
      </x:c>
      <x:c r="GZ69" t="str">
        <x:f>IF(GR69=0,"",GX69/GR69)</x:f>
      </x:c>
    </x:row>
    <x:row r="70">
      <x:c r="GN70" t="str">
        <x:f>IF(COUNTA(GH70,GI70,GJ70,GK70,GL70,GM70)=0,"",ROUND(GH70*20%+GI70*15%+GJ70*15%+GK70*20%+GL70*15%+GM70*15%,0))</x:f>
      </x:c>
      <x:c r="GP70" t="str">
        <x:f>IF(COUNTA(GO70,GK70,GJ70,GL70,GM70)=0,"",ROUND(GO70*30%+GK70*25%+GJ70*20%+GL70*15%+GM70*10%,0))</x:f>
      </x:c>
      <x:c r="GZ70" t="str">
        <x:f>IF(GR70=0,"",GX70/GR70)</x:f>
      </x:c>
    </x:row>
    <x:row r="71">
      <x:c r="GN71" t="str">
        <x:f>IF(COUNTA(GH71,GI71,GJ71,GK71,GL71,GM71)=0,"",ROUND(GH71*20%+GI71*15%+GJ71*15%+GK71*20%+GL71*15%+GM71*15%,0))</x:f>
      </x:c>
      <x:c r="GP71" t="str">
        <x:f>IF(COUNTA(GO71,GK71,GJ71,GL71,GM71)=0,"",ROUND(GO71*30%+GK71*25%+GJ71*20%+GL71*15%+GM71*10%,0))</x:f>
      </x:c>
      <x:c r="GZ71" t="str">
        <x:f>IF(GR71=0,"",GX71/GR71)</x:f>
      </x:c>
    </x:row>
    <x:row r="72">
      <x:c r="GN72" t="str">
        <x:f>IF(COUNTA(GH72,GI72,GJ72,GK72,GL72,GM72)=0,"",ROUND(GH72*20%+GI72*15%+GJ72*15%+GK72*20%+GL72*15%+GM72*15%,0))</x:f>
      </x:c>
      <x:c r="GP72" t="str">
        <x:f>IF(COUNTA(GO72,GK72,GJ72,GL72,GM72)=0,"",ROUND(GO72*30%+GK72*25%+GJ72*20%+GL72*15%+GM72*10%,0))</x:f>
      </x:c>
      <x:c r="GZ72" t="str">
        <x:f>IF(GR72=0,"",GX72/GR72)</x:f>
      </x:c>
    </x:row>
    <x:row r="73">
      <x:c r="GN73" t="str">
        <x:f>IF(COUNTA(GH73,GI73,GJ73,GK73,GL73,GM73)=0,"",ROUND(GH73*20%+GI73*15%+GJ73*15%+GK73*20%+GL73*15%+GM73*15%,0))</x:f>
      </x:c>
      <x:c r="GP73" t="str">
        <x:f>IF(COUNTA(GO73,GK73,GJ73,GL73,GM73)=0,"",ROUND(GO73*30%+GK73*25%+GJ73*20%+GL73*15%+GM73*10%,0))</x:f>
      </x:c>
      <x:c r="GZ73" t="str">
        <x:f>IF(GR73=0,"",GX73/GR73)</x:f>
      </x:c>
    </x:row>
    <x:row r="74">
      <x:c r="GN74" t="str">
        <x:f>IF(COUNTA(GH74,GI74,GJ74,GK74,GL74,GM74)=0,"",ROUND(GH74*20%+GI74*15%+GJ74*15%+GK74*20%+GL74*15%+GM74*15%,0))</x:f>
      </x:c>
      <x:c r="GP74" t="str">
        <x:f>IF(COUNTA(GO74,GK74,GJ74,GL74,GM74)=0,"",ROUND(GO74*30%+GK74*25%+GJ74*20%+GL74*15%+GM74*10%,0))</x:f>
      </x:c>
      <x:c r="GZ74" t="str">
        <x:f>IF(GR74=0,"",GX74/GR74)</x:f>
      </x:c>
    </x:row>
    <x:row r="75">
      <x:c r="GN75" t="str">
        <x:f>IF(COUNTA(GH75,GI75,GJ75,GK75,GL75,GM75)=0,"",ROUND(GH75*20%+GI75*15%+GJ75*15%+GK75*20%+GL75*15%+GM75*15%,0))</x:f>
      </x:c>
      <x:c r="GP75" t="str">
        <x:f>IF(COUNTA(GO75,GK75,GJ75,GL75,GM75)=0,"",ROUND(GO75*30%+GK75*25%+GJ75*20%+GL75*15%+GM75*10%,0))</x:f>
      </x:c>
      <x:c r="GZ75" t="str">
        <x:f>IF(GR75=0,"",GX75/GR75)</x:f>
      </x:c>
    </x:row>
    <x:row r="76">
      <x:c r="GN76" t="str">
        <x:f>IF(COUNTA(GH76,GI76,GJ76,GK76,GL76,GM76)=0,"",ROUND(GH76*20%+GI76*15%+GJ76*15%+GK76*20%+GL76*15%+GM76*15%,0))</x:f>
      </x:c>
      <x:c r="GP76" t="str">
        <x:f>IF(COUNTA(GO76,GK76,GJ76,GL76,GM76)=0,"",ROUND(GO76*30%+GK76*25%+GJ76*20%+GL76*15%+GM76*10%,0))</x:f>
      </x:c>
      <x:c r="GZ76" t="str">
        <x:f>IF(GR76=0,"",GX76/GR76)</x:f>
      </x:c>
    </x:row>
    <x:row r="77">
      <x:c r="GN77" t="str">
        <x:f>IF(COUNTA(GH77,GI77,GJ77,GK77,GL77,GM77)=0,"",ROUND(GH77*20%+GI77*15%+GJ77*15%+GK77*20%+GL77*15%+GM77*15%,0))</x:f>
      </x:c>
      <x:c r="GP77" t="str">
        <x:f>IF(COUNTA(GO77,GK77,GJ77,GL77,GM77)=0,"",ROUND(GO77*30%+GK77*25%+GJ77*20%+GL77*15%+GM77*10%,0))</x:f>
      </x:c>
      <x:c r="GZ77" t="str">
        <x:f>IF(GR77=0,"",GX77/GR77)</x:f>
      </x:c>
    </x:row>
    <x:row r="78">
      <x:c r="GN78" t="str">
        <x:f>IF(COUNTA(GH78,GI78,GJ78,GK78,GL78,GM78)=0,"",ROUND(GH78*20%+GI78*15%+GJ78*15%+GK78*20%+GL78*15%+GM78*15%,0))</x:f>
      </x:c>
      <x:c r="GP78" t="str">
        <x:f>IF(COUNTA(GO78,GK78,GJ78,GL78,GM78)=0,"",ROUND(GO78*30%+GK78*25%+GJ78*20%+GL78*15%+GM78*10%,0))</x:f>
      </x:c>
      <x:c r="GZ78" t="str">
        <x:f>IF(GR78=0,"",GX78/GR78)</x:f>
      </x:c>
    </x:row>
    <x:row r="79">
      <x:c r="GN79" t="str">
        <x:f>IF(COUNTA(GH79,GI79,GJ79,GK79,GL79,GM79)=0,"",ROUND(GH79*20%+GI79*15%+GJ79*15%+GK79*20%+GL79*15%+GM79*15%,0))</x:f>
      </x:c>
      <x:c r="GP79" t="str">
        <x:f>IF(COUNTA(GO79,GK79,GJ79,GL79,GM79)=0,"",ROUND(GO79*30%+GK79*25%+GJ79*20%+GL79*15%+GM79*10%,0))</x:f>
      </x:c>
      <x:c r="GZ79" t="str">
        <x:f>IF(GR79=0,"",GX79/GR79)</x:f>
      </x:c>
    </x:row>
    <x:row r="80">
      <x:c r="GN80" t="str">
        <x:f>IF(COUNTA(GH80,GI80,GJ80,GK80,GL80,GM80)=0,"",ROUND(GH80*20%+GI80*15%+GJ80*15%+GK80*20%+GL80*15%+GM80*15%,0))</x:f>
      </x:c>
      <x:c r="GP80" t="str">
        <x:f>IF(COUNTA(GO80,GK80,GJ80,GL80,GM80)=0,"",ROUND(GO80*30%+GK80*25%+GJ80*20%+GL80*15%+GM80*10%,0))</x:f>
      </x:c>
      <x:c r="GZ80" t="str">
        <x:f>IF(GR80=0,"",GX80/GR80)</x:f>
      </x:c>
    </x:row>
    <x:row r="81">
      <x:c r="GN81" t="str">
        <x:f>IF(COUNTA(GH81,GI81,GJ81,GK81,GL81,GM81)=0,"",ROUND(GH81*20%+GI81*15%+GJ81*15%+GK81*20%+GL81*15%+GM81*15%,0))</x:f>
      </x:c>
      <x:c r="GP81" t="str">
        <x:f>IF(COUNTA(GO81,GK81,GJ81,GL81,GM81)=0,"",ROUND(GO81*30%+GK81*25%+GJ81*20%+GL81*15%+GM81*10%,0))</x:f>
      </x:c>
      <x:c r="GZ81" t="str">
        <x:f>IF(GR81=0,"",GX81/GR81)</x:f>
      </x:c>
    </x:row>
    <x:row r="82">
      <x:c r="GN82" t="str">
        <x:f>IF(COUNTA(GH82,GI82,GJ82,GK82,GL82,GM82)=0,"",ROUND(GH82*20%+GI82*15%+GJ82*15%+GK82*20%+GL82*15%+GM82*15%,0))</x:f>
      </x:c>
      <x:c r="GP82" t="str">
        <x:f>IF(COUNTA(GO82,GK82,GJ82,GL82,GM82)=0,"",ROUND(GO82*30%+GK82*25%+GJ82*20%+GL82*15%+GM82*10%,0))</x:f>
      </x:c>
      <x:c r="GZ82" t="str">
        <x:f>IF(GR82=0,"",GX82/GR82)</x:f>
      </x:c>
    </x:row>
    <x:row r="83">
      <x:c r="GN83" t="str">
        <x:f>IF(COUNTA(GH83,GI83,GJ83,GK83,GL83,GM83)=0,"",ROUND(GH83*20%+GI83*15%+GJ83*15%+GK83*20%+GL83*15%+GM83*15%,0))</x:f>
      </x:c>
      <x:c r="GP83" t="str">
        <x:f>IF(COUNTA(GO83,GK83,GJ83,GL83,GM83)=0,"",ROUND(GO83*30%+GK83*25%+GJ83*20%+GL83*15%+GM83*10%,0))</x:f>
      </x:c>
      <x:c r="GZ83" t="str">
        <x:f>IF(GR83=0,"",GX83/GR83)</x:f>
      </x:c>
    </x:row>
    <x:row r="84">
      <x:c r="GN84" t="str">
        <x:f>IF(COUNTA(GH84,GI84,GJ84,GK84,GL84,GM84)=0,"",ROUND(GH84*20%+GI84*15%+GJ84*15%+GK84*20%+GL84*15%+GM84*15%,0))</x:f>
      </x:c>
      <x:c r="GP84" t="str">
        <x:f>IF(COUNTA(GO84,GK84,GJ84,GL84,GM84)=0,"",ROUND(GO84*30%+GK84*25%+GJ84*20%+GL84*15%+GM84*10%,0))</x:f>
      </x:c>
      <x:c r="GZ84" t="str">
        <x:f>IF(GR84=0,"",GX84/GR84)</x:f>
      </x:c>
    </x:row>
    <x:row r="85">
      <x:c r="GN85" t="str">
        <x:f>IF(COUNTA(GH85,GI85,GJ85,GK85,GL85,GM85)=0,"",ROUND(GH85*20%+GI85*15%+GJ85*15%+GK85*20%+GL85*15%+GM85*15%,0))</x:f>
      </x:c>
      <x:c r="GP85" t="str">
        <x:f>IF(COUNTA(GO85,GK85,GJ85,GL85,GM85)=0,"",ROUND(GO85*30%+GK85*25%+GJ85*20%+GL85*15%+GM85*10%,0))</x:f>
      </x:c>
      <x:c r="GZ85" t="str">
        <x:f>IF(GR85=0,"",GX85/GR85)</x:f>
      </x:c>
    </x:row>
    <x:row r="86">
      <x:c r="GN86" t="str">
        <x:f>IF(COUNTA(GH86,GI86,GJ86,GK86,GL86,GM86)=0,"",ROUND(GH86*20%+GI86*15%+GJ86*15%+GK86*20%+GL86*15%+GM86*15%,0))</x:f>
      </x:c>
      <x:c r="GP86" t="str">
        <x:f>IF(COUNTA(GO86,GK86,GJ86,GL86,GM86)=0,"",ROUND(GO86*30%+GK86*25%+GJ86*20%+GL86*15%+GM86*10%,0))</x:f>
      </x:c>
      <x:c r="GZ86" t="str">
        <x:f>IF(GR86=0,"",GX86/GR86)</x:f>
      </x:c>
    </x:row>
    <x:row r="87">
      <x:c r="GN87" t="str">
        <x:f>IF(COUNTA(GH87,GI87,GJ87,GK87,GL87,GM87)=0,"",ROUND(GH87*20%+GI87*15%+GJ87*15%+GK87*20%+GL87*15%+GM87*15%,0))</x:f>
      </x:c>
      <x:c r="GP87" t="str">
        <x:f>IF(COUNTA(GO87,GK87,GJ87,GL87,GM87)=0,"",ROUND(GO87*30%+GK87*25%+GJ87*20%+GL87*15%+GM87*10%,0))</x:f>
      </x:c>
      <x:c r="GZ87" t="str">
        <x:f>IF(GR87=0,"",GX87/GR87)</x:f>
      </x:c>
    </x:row>
    <x:row r="88">
      <x:c r="GN88" t="str">
        <x:f>IF(COUNTA(GH88,GI88,GJ88,GK88,GL88,GM88)=0,"",ROUND(GH88*20%+GI88*15%+GJ88*15%+GK88*20%+GL88*15%+GM88*15%,0))</x:f>
      </x:c>
      <x:c r="GP88" t="str">
        <x:f>IF(COUNTA(GO88,GK88,GJ88,GL88,GM88)=0,"",ROUND(GO88*30%+GK88*25%+GJ88*20%+GL88*15%+GM88*10%,0))</x:f>
      </x:c>
      <x:c r="GZ88" t="str">
        <x:f>IF(GR88=0,"",GX88/GR88)</x:f>
      </x:c>
    </x:row>
    <x:row r="89">
      <x:c r="GN89" t="str">
        <x:f>IF(COUNTA(GH89,GI89,GJ89,GK89,GL89,GM89)=0,"",ROUND(GH89*20%+GI89*15%+GJ89*15%+GK89*20%+GL89*15%+GM89*15%,0))</x:f>
      </x:c>
      <x:c r="GP89" t="str">
        <x:f>IF(COUNTA(GO89,GK89,GJ89,GL89,GM89)=0,"",ROUND(GO89*30%+GK89*25%+GJ89*20%+GL89*15%+GM89*10%,0))</x:f>
      </x:c>
      <x:c r="GZ89" t="str">
        <x:f>IF(GR89=0,"",GX89/GR89)</x:f>
      </x:c>
    </x:row>
    <x:row r="90">
      <x:c r="GN90" t="str">
        <x:f>IF(COUNTA(GH90,GI90,GJ90,GK90,GL90,GM90)=0,"",ROUND(GH90*20%+GI90*15%+GJ90*15%+GK90*20%+GL90*15%+GM90*15%,0))</x:f>
      </x:c>
      <x:c r="GP90" t="str">
        <x:f>IF(COUNTA(GO90,GK90,GJ90,GL90,GM90)=0,"",ROUND(GO90*30%+GK90*25%+GJ90*20%+GL90*15%+GM90*10%,0))</x:f>
      </x:c>
      <x:c r="GZ90" t="str">
        <x:f>IF(GR90=0,"",GX90/GR90)</x:f>
      </x:c>
    </x:row>
    <x:row r="91">
      <x:c r="GN91" t="str">
        <x:f>IF(COUNTA(GH91,GI91,GJ91,GK91,GL91,GM91)=0,"",ROUND(GH91*20%+GI91*15%+GJ91*15%+GK91*20%+GL91*15%+GM91*15%,0))</x:f>
      </x:c>
      <x:c r="GP91" t="str">
        <x:f>IF(COUNTA(GO91,GK91,GJ91,GL91,GM91)=0,"",ROUND(GO91*30%+GK91*25%+GJ91*20%+GL91*15%+GM91*10%,0))</x:f>
      </x:c>
      <x:c r="GZ91" t="str">
        <x:f>IF(GR91=0,"",GX91/GR91)</x:f>
      </x:c>
    </x:row>
    <x:row r="92">
      <x:c r="GN92" t="str">
        <x:f>IF(COUNTA(GH92,GI92,GJ92,GK92,GL92,GM92)=0,"",ROUND(GH92*20%+GI92*15%+GJ92*15%+GK92*20%+GL92*15%+GM92*15%,0))</x:f>
      </x:c>
      <x:c r="GP92" t="str">
        <x:f>IF(COUNTA(GO92,GK92,GJ92,GL92,GM92)=0,"",ROUND(GO92*30%+GK92*25%+GJ92*20%+GL92*15%+GM92*10%,0))</x:f>
      </x:c>
      <x:c r="GZ92" t="str">
        <x:f>IF(GR92=0,"",GX92/GR92)</x:f>
      </x:c>
    </x:row>
    <x:row r="93">
      <x:c r="GN93" t="str">
        <x:f>IF(COUNTA(GH93,GI93,GJ93,GK93,GL93,GM93)=0,"",ROUND(GH93*20%+GI93*15%+GJ93*15%+GK93*20%+GL93*15%+GM93*15%,0))</x:f>
      </x:c>
      <x:c r="GP93" t="str">
        <x:f>IF(COUNTA(GO93,GK93,GJ93,GL93,GM93)=0,"",ROUND(GO93*30%+GK93*25%+GJ93*20%+GL93*15%+GM93*10%,0))</x:f>
      </x:c>
      <x:c r="GZ93" t="str">
        <x:f>IF(GR93=0,"",GX93/GR93)</x:f>
      </x:c>
    </x:row>
    <x:row r="94">
      <x:c r="GN94" t="str">
        <x:f>IF(COUNTA(GH94,GI94,GJ94,GK94,GL94,GM94)=0,"",ROUND(GH94*20%+GI94*15%+GJ94*15%+GK94*20%+GL94*15%+GM94*15%,0))</x:f>
      </x:c>
      <x:c r="GP94" t="str">
        <x:f>IF(COUNTA(GO94,GK94,GJ94,GL94,GM94)=0,"",ROUND(GO94*30%+GK94*25%+GJ94*20%+GL94*15%+GM94*10%,0))</x:f>
      </x:c>
      <x:c r="GZ94" t="str">
        <x:f>IF(GR94=0,"",GX94/GR94)</x:f>
      </x:c>
    </x:row>
    <x:row r="95">
      <x:c r="GN95" t="str">
        <x:f>IF(COUNTA(GH95,GI95,GJ95,GK95,GL95,GM95)=0,"",ROUND(GH95*20%+GI95*15%+GJ95*15%+GK95*20%+GL95*15%+GM95*15%,0))</x:f>
      </x:c>
      <x:c r="GP95" t="str">
        <x:f>IF(COUNTA(GO95,GK95,GJ95,GL95,GM95)=0,"",ROUND(GO95*30%+GK95*25%+GJ95*20%+GL95*15%+GM95*10%,0))</x:f>
      </x:c>
      <x:c r="GZ95" t="str">
        <x:f>IF(GR95=0,"",GX95/GR95)</x:f>
      </x:c>
    </x:row>
    <x:row r="96">
      <x:c r="GN96" t="str">
        <x:f>IF(COUNTA(GH96,GI96,GJ96,GK96,GL96,GM96)=0,"",ROUND(GH96*20%+GI96*15%+GJ96*15%+GK96*20%+GL96*15%+GM96*15%,0))</x:f>
      </x:c>
      <x:c r="GP96" t="str">
        <x:f>IF(COUNTA(GO96,GK96,GJ96,GL96,GM96)=0,"",ROUND(GO96*30%+GK96*25%+GJ96*20%+GL96*15%+GM96*10%,0))</x:f>
      </x:c>
      <x:c r="GZ96" t="str">
        <x:f>IF(GR96=0,"",GX96/GR96)</x:f>
      </x:c>
    </x:row>
    <x:row r="97">
      <x:c r="GN97" t="str">
        <x:f>IF(COUNTA(GH97,GI97,GJ97,GK97,GL97,GM97)=0,"",ROUND(GH97*20%+GI97*15%+GJ97*15%+GK97*20%+GL97*15%+GM97*15%,0))</x:f>
      </x:c>
      <x:c r="GP97" t="str">
        <x:f>IF(COUNTA(GO97,GK97,GJ97,GL97,GM97)=0,"",ROUND(GO97*30%+GK97*25%+GJ97*20%+GL97*15%+GM97*10%,0))</x:f>
      </x:c>
      <x:c r="GZ97" t="str">
        <x:f>IF(GR97=0,"",GX97/GR97)</x:f>
      </x:c>
    </x:row>
    <x:row r="98">
      <x:c r="GN98" t="str">
        <x:f>IF(COUNTA(GH98,GI98,GJ98,GK98,GL98,GM98)=0,"",ROUND(GH98*20%+GI98*15%+GJ98*15%+GK98*20%+GL98*15%+GM98*15%,0))</x:f>
      </x:c>
      <x:c r="GP98" t="str">
        <x:f>IF(COUNTA(GO98,GK98,GJ98,GL98,GM98)=0,"",ROUND(GO98*30%+GK98*25%+GJ98*20%+GL98*15%+GM98*10%,0))</x:f>
      </x:c>
      <x:c r="GZ98" t="str">
        <x:f>IF(GR98=0,"",GX98/GR98)</x:f>
      </x:c>
    </x:row>
    <x:row r="99">
      <x:c r="GN99" t="str">
        <x:f>IF(COUNTA(GH99,GI99,GJ99,GK99,GL99,GM99)=0,"",ROUND(GH99*20%+GI99*15%+GJ99*15%+GK99*20%+GL99*15%+GM99*15%,0))</x:f>
      </x:c>
      <x:c r="GP99" t="str">
        <x:f>IF(COUNTA(GO99,GK99,GJ99,GL99,GM99)=0,"",ROUND(GO99*30%+GK99*25%+GJ99*20%+GL99*15%+GM99*10%,0))</x:f>
      </x:c>
      <x:c r="GZ99" t="str">
        <x:f>IF(GR99=0,"",GX99/GR99)</x:f>
      </x:c>
    </x:row>
    <x:row r="100">
      <x:c r="GN100" t="str">
        <x:f>IF(COUNTA(GH100,GI100,GJ100,GK100,GL100,GM100)=0,"",ROUND(GH100*20%+GI100*15%+GJ100*15%+GK100*20%+GL100*15%+GM100*15%,0))</x:f>
      </x:c>
      <x:c r="GP100" t="str">
        <x:f>IF(COUNTA(GO100,GK100,GJ100,GL100,GM100)=0,"",ROUND(GO100*30%+GK100*25%+GJ100*20%+GL100*15%+GM100*10%,0))</x:f>
      </x:c>
      <x:c r="GZ100" t="str">
        <x:f>IF(GR100=0,"",GX100/GR100)</x:f>
      </x:c>
    </x:row>
    <x:row r="101">
      <x:c r="GN101" t="str">
        <x:f>IF(COUNTA(GH101,GI101,GJ101,GK101,GL101,GM101)=0,"",ROUND(GH101*20%+GI101*15%+GJ101*15%+GK101*20%+GL101*15%+GM101*15%,0))</x:f>
      </x:c>
      <x:c r="GP101" t="str">
        <x:f>IF(COUNTA(GO101,GK101,GJ101,GL101,GM101)=0,"",ROUND(GO101*30%+GK101*25%+GJ101*20%+GL101*15%+GM101*10%,0))</x:f>
      </x:c>
      <x:c r="GZ101" t="str">
        <x:f>IF(GR101=0,"",GX101/GR101)</x:f>
      </x:c>
    </x:row>
    <x:row r="102">
      <x:c r="GN102" t="str">
        <x:f>IF(COUNTA(GH102,GI102,GJ102,GK102,GL102,GM102)=0,"",ROUND(GH102*20%+GI102*15%+GJ102*15%+GK102*20%+GL102*15%+GM102*15%,0))</x:f>
      </x:c>
      <x:c r="GP102" t="str">
        <x:f>IF(COUNTA(GO102,GK102,GJ102,GL102,GM102)=0,"",ROUND(GO102*30%+GK102*25%+GJ102*20%+GL102*15%+GM102*10%,0))</x:f>
      </x:c>
      <x:c r="GZ102" t="str">
        <x:f>IF(GR102=0,"",GX102/GR102)</x:f>
      </x:c>
    </x:row>
    <x:row r="103">
      <x:c r="GN103" t="str">
        <x:f>IF(COUNTA(GH103,GI103,GJ103,GK103,GL103,GM103)=0,"",ROUND(GH103*20%+GI103*15%+GJ103*15%+GK103*20%+GL103*15%+GM103*15%,0))</x:f>
      </x:c>
      <x:c r="GP103" t="str">
        <x:f>IF(COUNTA(GO103,GK103,GJ103,GL103,GM103)=0,"",ROUND(GO103*30%+GK103*25%+GJ103*20%+GL103*15%+GM103*10%,0))</x:f>
      </x:c>
      <x:c r="GZ103" t="str">
        <x:f>IF(GR103=0,"",GX103/GR103)</x:f>
      </x:c>
    </x:row>
    <x:row r="104">
      <x:c r="GN104" t="str">
        <x:f>IF(COUNTA(GH104,GI104,GJ104,GK104,GL104,GM104)=0,"",ROUND(GH104*20%+GI104*15%+GJ104*15%+GK104*20%+GL104*15%+GM104*15%,0))</x:f>
      </x:c>
      <x:c r="GP104" t="str">
        <x:f>IF(COUNTA(GO104,GK104,GJ104,GL104,GM104)=0,"",ROUND(GO104*30%+GK104*25%+GJ104*20%+GL104*15%+GM104*10%,0))</x:f>
      </x:c>
      <x:c r="GZ104" t="str">
        <x:f>IF(GR104=0,"",GX104/GR104)</x:f>
      </x:c>
    </x:row>
    <x:row r="105">
      <x:c r="GN105" t="str">
        <x:f>IF(COUNTA(GH105,GI105,GJ105,GK105,GL105,GM105)=0,"",ROUND(GH105*20%+GI105*15%+GJ105*15%+GK105*20%+GL105*15%+GM105*15%,0))</x:f>
      </x:c>
      <x:c r="GP105" t="str">
        <x:f>IF(COUNTA(GO105,GK105,GJ105,GL105,GM105)=0,"",ROUND(GO105*30%+GK105*25%+GJ105*20%+GL105*15%+GM105*10%,0))</x:f>
      </x:c>
      <x:c r="GZ105" t="str">
        <x:f>IF(GR105=0,"",GX105/GR105)</x:f>
      </x:c>
    </x:row>
    <x:row r="106">
      <x:c r="GN106" t="str">
        <x:f>IF(COUNTA(GH106,GI106,GJ106,GK106,GL106,GM106)=0,"",ROUND(GH106*20%+GI106*15%+GJ106*15%+GK106*20%+GL106*15%+GM106*15%,0))</x:f>
      </x:c>
      <x:c r="GP106" t="str">
        <x:f>IF(COUNTA(GO106,GK106,GJ106,GL106,GM106)=0,"",ROUND(GO106*30%+GK106*25%+GJ106*20%+GL106*15%+GM106*10%,0))</x:f>
      </x:c>
      <x:c r="GZ106" t="str">
        <x:f>IF(GR106=0,"",GX106/GR106)</x:f>
      </x:c>
    </x:row>
    <x:row r="107">
      <x:c r="GN107" t="str">
        <x:f>IF(COUNTA(GH107,GI107,GJ107,GK107,GL107,GM107)=0,"",ROUND(GH107*20%+GI107*15%+GJ107*15%+GK107*20%+GL107*15%+GM107*15%,0))</x:f>
      </x:c>
      <x:c r="GP107" t="str">
        <x:f>IF(COUNTA(GO107,GK107,GJ107,GL107,GM107)=0,"",ROUND(GO107*30%+GK107*25%+GJ107*20%+GL107*15%+GM107*10%,0))</x:f>
      </x:c>
      <x:c r="GZ107" t="str">
        <x:f>IF(GR107=0,"",GX107/GR107)</x:f>
      </x:c>
    </x:row>
    <x:row r="108">
      <x:c r="GN108" t="str">
        <x:f>IF(COUNTA(GH108,GI108,GJ108,GK108,GL108,GM108)=0,"",ROUND(GH108*20%+GI108*15%+GJ108*15%+GK108*20%+GL108*15%+GM108*15%,0))</x:f>
      </x:c>
      <x:c r="GP108" t="str">
        <x:f>IF(COUNTA(GO108,GK108,GJ108,GL108,GM108)=0,"",ROUND(GO108*30%+GK108*25%+GJ108*20%+GL108*15%+GM108*10%,0))</x:f>
      </x:c>
      <x:c r="GZ108" t="str">
        <x:f>IF(GR108=0,"",GX108/GR108)</x:f>
      </x:c>
    </x:row>
    <x:row r="109">
      <x:c r="GN109" t="str">
        <x:f>IF(COUNTA(GH109,GI109,GJ109,GK109,GL109,GM109)=0,"",ROUND(GH109*20%+GI109*15%+GJ109*15%+GK109*20%+GL109*15%+GM109*15%,0))</x:f>
      </x:c>
      <x:c r="GP109" t="str">
        <x:f>IF(COUNTA(GO109,GK109,GJ109,GL109,GM109)=0,"",ROUND(GO109*30%+GK109*25%+GJ109*20%+GL109*15%+GM109*10%,0))</x:f>
      </x:c>
      <x:c r="GZ109" t="str">
        <x:f>IF(GR109=0,"",GX109/GR109)</x:f>
      </x:c>
    </x:row>
    <x:row r="110">
      <x:c r="GN110" t="str">
        <x:f>IF(COUNTA(GH110,GI110,GJ110,GK110,GL110,GM110)=0,"",ROUND(GH110*20%+GI110*15%+GJ110*15%+GK110*20%+GL110*15%+GM110*15%,0))</x:f>
      </x:c>
      <x:c r="GP110" t="str">
        <x:f>IF(COUNTA(GO110,GK110,GJ110,GL110,GM110)=0,"",ROUND(GO110*30%+GK110*25%+GJ110*20%+GL110*15%+GM110*10%,0))</x:f>
      </x:c>
      <x:c r="GZ110" t="str">
        <x:f>IF(GR110=0,"",GX110/GR110)</x:f>
      </x:c>
    </x:row>
    <x:row r="111">
      <x:c r="GN111" t="str">
        <x:f>IF(COUNTA(GH111,GI111,GJ111,GK111,GL111,GM111)=0,"",ROUND(GH111*20%+GI111*15%+GJ111*15%+GK111*20%+GL111*15%+GM111*15%,0))</x:f>
      </x:c>
      <x:c r="GP111" t="str">
        <x:f>IF(COUNTA(GO111,GK111,GJ111,GL111,GM111)=0,"",ROUND(GO111*30%+GK111*25%+GJ111*20%+GL111*15%+GM111*10%,0))</x:f>
      </x:c>
      <x:c r="GZ111" t="str">
        <x:f>IF(GR111=0,"",GX111/GR111)</x:f>
      </x:c>
    </x:row>
    <x:row r="112">
      <x:c r="GN112" t="str">
        <x:f>IF(COUNTA(GH112,GI112,GJ112,GK112,GL112,GM112)=0,"",ROUND(GH112*20%+GI112*15%+GJ112*15%+GK112*20%+GL112*15%+GM112*15%,0))</x:f>
      </x:c>
      <x:c r="GP112" t="str">
        <x:f>IF(COUNTA(GO112,GK112,GJ112,GL112,GM112)=0,"",ROUND(GO112*30%+GK112*25%+GJ112*20%+GL112*15%+GM112*10%,0))</x:f>
      </x:c>
      <x:c r="GZ112" t="str">
        <x:f>IF(GR112=0,"",GX112/GR112)</x:f>
      </x:c>
    </x:row>
    <x:row r="113">
      <x:c r="GN113" t="str">
        <x:f>IF(COUNTA(GH113,GI113,GJ113,GK113,GL113,GM113)=0,"",ROUND(GH113*20%+GI113*15%+GJ113*15%+GK113*20%+GL113*15%+GM113*15%,0))</x:f>
      </x:c>
      <x:c r="GP113" t="str">
        <x:f>IF(COUNTA(GO113,GK113,GJ113,GL113,GM113)=0,"",ROUND(GO113*30%+GK113*25%+GJ113*20%+GL113*15%+GM113*10%,0))</x:f>
      </x:c>
      <x:c r="GZ113" t="str">
        <x:f>IF(GR113=0,"",GX113/GR113)</x:f>
      </x:c>
    </x:row>
    <x:row r="114">
      <x:c r="GN114" t="str">
        <x:f>IF(COUNTA(GH114,GI114,GJ114,GK114,GL114,GM114)=0,"",ROUND(GH114*20%+GI114*15%+GJ114*15%+GK114*20%+GL114*15%+GM114*15%,0))</x:f>
      </x:c>
      <x:c r="GP114" t="str">
        <x:f>IF(COUNTA(GO114,GK114,GJ114,GL114,GM114)=0,"",ROUND(GO114*30%+GK114*25%+GJ114*20%+GL114*15%+GM114*10%,0))</x:f>
      </x:c>
      <x:c r="GZ114" t="str">
        <x:f>IF(GR114=0,"",GX114/GR114)</x:f>
      </x:c>
    </x:row>
    <x:row r="115">
      <x:c r="GN115" t="str">
        <x:f>IF(COUNTA(GH115,GI115,GJ115,GK115,GL115,GM115)=0,"",ROUND(GH115*20%+GI115*15%+GJ115*15%+GK115*20%+GL115*15%+GM115*15%,0))</x:f>
      </x:c>
      <x:c r="GP115" t="str">
        <x:f>IF(COUNTA(GO115,GK115,GJ115,GL115,GM115)=0,"",ROUND(GO115*30%+GK115*25%+GJ115*20%+GL115*15%+GM115*10%,0))</x:f>
      </x:c>
      <x:c r="GZ115" t="str">
        <x:f>IF(GR115=0,"",GX115/GR115)</x:f>
      </x:c>
    </x:row>
    <x:row r="116">
      <x:c r="GN116" t="str">
        <x:f>IF(COUNTA(GH116,GI116,GJ116,GK116,GL116,GM116)=0,"",ROUND(GH116*20%+GI116*15%+GJ116*15%+GK116*20%+GL116*15%+GM116*15%,0))</x:f>
      </x:c>
      <x:c r="GP116" t="str">
        <x:f>IF(COUNTA(GO116,GK116,GJ116,GL116,GM116)=0,"",ROUND(GO116*30%+GK116*25%+GJ116*20%+GL116*15%+GM116*10%,0))</x:f>
      </x:c>
      <x:c r="GZ116" t="str">
        <x:f>IF(GR116=0,"",GX116/GR116)</x:f>
      </x:c>
    </x:row>
    <x:row r="117">
      <x:c r="GN117" t="str">
        <x:f>IF(COUNTA(GH117,GI117,GJ117,GK117,GL117,GM117)=0,"",ROUND(GH117*20%+GI117*15%+GJ117*15%+GK117*20%+GL117*15%+GM117*15%,0))</x:f>
      </x:c>
      <x:c r="GP117" t="str">
        <x:f>IF(COUNTA(GO117,GK117,GJ117,GL117,GM117)=0,"",ROUND(GO117*30%+GK117*25%+GJ117*20%+GL117*15%+GM117*10%,0))</x:f>
      </x:c>
      <x:c r="GZ117" t="str">
        <x:f>IF(GR117=0,"",GX117/GR117)</x:f>
      </x:c>
    </x:row>
    <x:row r="118">
      <x:c r="GN118" t="str">
        <x:f>IF(COUNTA(GH118,GI118,GJ118,GK118,GL118,GM118)=0,"",ROUND(GH118*20%+GI118*15%+GJ118*15%+GK118*20%+GL118*15%+GM118*15%,0))</x:f>
      </x:c>
      <x:c r="GP118" t="str">
        <x:f>IF(COUNTA(GO118,GK118,GJ118,GL118,GM118)=0,"",ROUND(GO118*30%+GK118*25%+GJ118*20%+GL118*15%+GM118*10%,0))</x:f>
      </x:c>
      <x:c r="GZ118" t="str">
        <x:f>IF(GR118=0,"",GX118/GR118)</x:f>
      </x:c>
    </x:row>
    <x:row r="119">
      <x:c r="GN119" t="str">
        <x:f>IF(COUNTA(GH119,GI119,GJ119,GK119,GL119,GM119)=0,"",ROUND(GH119*20%+GI119*15%+GJ119*15%+GK119*20%+GL119*15%+GM119*15%,0))</x:f>
      </x:c>
      <x:c r="GP119" t="str">
        <x:f>IF(COUNTA(GO119,GK119,GJ119,GL119,GM119)=0,"",ROUND(GO119*30%+GK119*25%+GJ119*20%+GL119*15%+GM119*10%,0))</x:f>
      </x:c>
      <x:c r="GZ119" t="str">
        <x:f>IF(GR119=0,"",GX119/GR119)</x:f>
      </x:c>
    </x:row>
    <x:row r="120">
      <x:c r="GN120" t="str">
        <x:f>IF(COUNTA(GH120,GI120,GJ120,GK120,GL120,GM120)=0,"",ROUND(GH120*20%+GI120*15%+GJ120*15%+GK120*20%+GL120*15%+GM120*15%,0))</x:f>
      </x:c>
      <x:c r="GP120" t="str">
        <x:f>IF(COUNTA(GO120,GK120,GJ120,GL120,GM120)=0,"",ROUND(GO120*30%+GK120*25%+GJ120*20%+GL120*15%+GM120*10%,0))</x:f>
      </x:c>
      <x:c r="GZ120" t="str">
        <x:f>IF(GR120=0,"",GX120/GR120)</x:f>
      </x:c>
    </x:row>
    <x:row r="121">
      <x:c r="GN121" t="str">
        <x:f>IF(COUNTA(GH121,GI121,GJ121,GK121,GL121,GM121)=0,"",ROUND(GH121*20%+GI121*15%+GJ121*15%+GK121*20%+GL121*15%+GM121*15%,0))</x:f>
      </x:c>
      <x:c r="GP121" t="str">
        <x:f>IF(COUNTA(GO121,GK121,GJ121,GL121,GM121)=0,"",ROUND(GO121*30%+GK121*25%+GJ121*20%+GL121*15%+GM121*10%,0))</x:f>
      </x:c>
      <x:c r="GZ121" t="str">
        <x:f>IF(GR121=0,"",GX121/GR121)</x:f>
      </x:c>
    </x:row>
    <x:row r="122">
      <x:c r="GN122" t="str">
        <x:f>IF(COUNTA(GH122,GI122,GJ122,GK122,GL122,GM122)=0,"",ROUND(GH122*20%+GI122*15%+GJ122*15%+GK122*20%+GL122*15%+GM122*15%,0))</x:f>
      </x:c>
      <x:c r="GP122" t="str">
        <x:f>IF(COUNTA(GO122,GK122,GJ122,GL122,GM122)=0,"",ROUND(GO122*30%+GK122*25%+GJ122*20%+GL122*15%+GM122*10%,0))</x:f>
      </x:c>
      <x:c r="GZ122" t="str">
        <x:f>IF(GR122=0,"",GX122/GR122)</x:f>
      </x:c>
    </x:row>
    <x:row r="123">
      <x:c r="GN123" t="str">
        <x:f>IF(COUNTA(GH123,GI123,GJ123,GK123,GL123,GM123)=0,"",ROUND(GH123*20%+GI123*15%+GJ123*15%+GK123*20%+GL123*15%+GM123*15%,0))</x:f>
      </x:c>
      <x:c r="GP123" t="str">
        <x:f>IF(COUNTA(GO123,GK123,GJ123,GL123,GM123)=0,"",ROUND(GO123*30%+GK123*25%+GJ123*20%+GL123*15%+GM123*10%,0))</x:f>
      </x:c>
      <x:c r="GZ123" t="str">
        <x:f>IF(GR123=0,"",GX123/GR123)</x:f>
      </x:c>
    </x:row>
    <x:row r="124">
      <x:c r="GN124" t="str">
        <x:f>IF(COUNTA(GH124,GI124,GJ124,GK124,GL124,GM124)=0,"",ROUND(GH124*20%+GI124*15%+GJ124*15%+GK124*20%+GL124*15%+GM124*15%,0))</x:f>
      </x:c>
      <x:c r="GP124" t="str">
        <x:f>IF(COUNTA(GO124,GK124,GJ124,GL124,GM124)=0,"",ROUND(GO124*30%+GK124*25%+GJ124*20%+GL124*15%+GM124*10%,0))</x:f>
      </x:c>
      <x:c r="GZ124" t="str">
        <x:f>IF(GR124=0,"",GX124/GR124)</x:f>
      </x:c>
    </x:row>
    <x:row r="125">
      <x:c r="GN125" t="str">
        <x:f>IF(COUNTA(GH125,GI125,GJ125,GK125,GL125,GM125)=0,"",ROUND(GH125*20%+GI125*15%+GJ125*15%+GK125*20%+GL125*15%+GM125*15%,0))</x:f>
      </x:c>
      <x:c r="GP125" t="str">
        <x:f>IF(COUNTA(GO125,GK125,GJ125,GL125,GM125)=0,"",ROUND(GO125*30%+GK125*25%+GJ125*20%+GL125*15%+GM125*10%,0))</x:f>
      </x:c>
      <x:c r="GZ125" t="str">
        <x:f>IF(GR125=0,"",GX125/GR125)</x:f>
      </x:c>
    </x:row>
    <x:row r="126">
      <x:c r="GN126" t="str">
        <x:f>IF(COUNTA(GH126,GI126,GJ126,GK126,GL126,GM126)=0,"",ROUND(GH126*20%+GI126*15%+GJ126*15%+GK126*20%+GL126*15%+GM126*15%,0))</x:f>
      </x:c>
      <x:c r="GP126" t="str">
        <x:f>IF(COUNTA(GO126,GK126,GJ126,GL126,GM126)=0,"",ROUND(GO126*30%+GK126*25%+GJ126*20%+GL126*15%+GM126*10%,0))</x:f>
      </x:c>
      <x:c r="GZ126" t="str">
        <x:f>IF(GR126=0,"",GX126/GR126)</x:f>
      </x:c>
    </x:row>
    <x:row r="127">
      <x:c r="GN127" t="str">
        <x:f>IF(COUNTA(GH127,GI127,GJ127,GK127,GL127,GM127)=0,"",ROUND(GH127*20%+GI127*15%+GJ127*15%+GK127*20%+GL127*15%+GM127*15%,0))</x:f>
      </x:c>
      <x:c r="GP127" t="str">
        <x:f>IF(COUNTA(GO127,GK127,GJ127,GL127,GM127)=0,"",ROUND(GO127*30%+GK127*25%+GJ127*20%+GL127*15%+GM127*10%,0))</x:f>
      </x:c>
      <x:c r="GZ127" t="str">
        <x:f>IF(GR127=0,"",GX127/GR127)</x:f>
      </x:c>
    </x:row>
    <x:row r="128">
      <x:c r="GN128" t="str">
        <x:f>IF(COUNTA(GH128,GI128,GJ128,GK128,GL128,GM128)=0,"",ROUND(GH128*20%+GI128*15%+GJ128*15%+GK128*20%+GL128*15%+GM128*15%,0))</x:f>
      </x:c>
      <x:c r="GP128" t="str">
        <x:f>IF(COUNTA(GO128,GK128,GJ128,GL128,GM128)=0,"",ROUND(GO128*30%+GK128*25%+GJ128*20%+GL128*15%+GM128*10%,0))</x:f>
      </x:c>
      <x:c r="GZ128" t="str">
        <x:f>IF(GR128=0,"",GX128/GR128)</x:f>
      </x:c>
    </x:row>
    <x:row r="129">
      <x:c r="GN129" t="str">
        <x:f>IF(COUNTA(GH129,GI129,GJ129,GK129,GL129,GM129)=0,"",ROUND(GH129*20%+GI129*15%+GJ129*15%+GK129*20%+GL129*15%+GM129*15%,0))</x:f>
      </x:c>
      <x:c r="GP129" t="str">
        <x:f>IF(COUNTA(GO129,GK129,GJ129,GL129,GM129)=0,"",ROUND(GO129*30%+GK129*25%+GJ129*20%+GL129*15%+GM129*10%,0))</x:f>
      </x:c>
      <x:c r="GZ129" t="str">
        <x:f>IF(GR129=0,"",GX129/GR129)</x:f>
      </x:c>
    </x:row>
    <x:row r="130">
      <x:c r="GN130" t="str">
        <x:f>IF(COUNTA(GH130,GI130,GJ130,GK130,GL130,GM130)=0,"",ROUND(GH130*20%+GI130*15%+GJ130*15%+GK130*20%+GL130*15%+GM130*15%,0))</x:f>
      </x:c>
      <x:c r="GP130" t="str">
        <x:f>IF(COUNTA(GO130,GK130,GJ130,GL130,GM130)=0,"",ROUND(GO130*30%+GK130*25%+GJ130*20%+GL130*15%+GM130*10%,0))</x:f>
      </x:c>
      <x:c r="GZ130" t="str">
        <x:f>IF(GR130=0,"",GX130/GR130)</x:f>
      </x:c>
    </x:row>
    <x:row r="131">
      <x:c r="GN131" t="str">
        <x:f>IF(COUNTA(GH131,GI131,GJ131,GK131,GL131,GM131)=0,"",ROUND(GH131*20%+GI131*15%+GJ131*15%+GK131*20%+GL131*15%+GM131*15%,0))</x:f>
      </x:c>
      <x:c r="GP131" t="str">
        <x:f>IF(COUNTA(GO131,GK131,GJ131,GL131,GM131)=0,"",ROUND(GO131*30%+GK131*25%+GJ131*20%+GL131*15%+GM131*10%,0))</x:f>
      </x:c>
      <x:c r="GZ131" t="str">
        <x:f>IF(GR131=0,"",GX131/GR131)</x:f>
      </x:c>
    </x:row>
    <x:row r="132">
      <x:c r="GN132" t="str">
        <x:f>IF(COUNTA(GH132,GI132,GJ132,GK132,GL132,GM132)=0,"",ROUND(GH132*20%+GI132*15%+GJ132*15%+GK132*20%+GL132*15%+GM132*15%,0))</x:f>
      </x:c>
      <x:c r="GP132" t="str">
        <x:f>IF(COUNTA(GO132,GK132,GJ132,GL132,GM132)=0,"",ROUND(GO132*30%+GK132*25%+GJ132*20%+GL132*15%+GM132*10%,0))</x:f>
      </x:c>
      <x:c r="GZ132" t="str">
        <x:f>IF(GR132=0,"",GX132/GR132)</x:f>
      </x:c>
    </x:row>
    <x:row r="133">
      <x:c r="GN133" t="str">
        <x:f>IF(COUNTA(GH133,GI133,GJ133,GK133,GL133,GM133)=0,"",ROUND(GH133*20%+GI133*15%+GJ133*15%+GK133*20%+GL133*15%+GM133*15%,0))</x:f>
      </x:c>
      <x:c r="GP133" t="str">
        <x:f>IF(COUNTA(GO133,GK133,GJ133,GL133,GM133)=0,"",ROUND(GO133*30%+GK133*25%+GJ133*20%+GL133*15%+GM133*10%,0))</x:f>
      </x:c>
      <x:c r="GZ133" t="str">
        <x:f>IF(GR133=0,"",GX133/GR133)</x:f>
      </x:c>
    </x:row>
    <x:row r="134">
      <x:c r="GN134" t="str">
        <x:f>IF(COUNTA(GH134,GI134,GJ134,GK134,GL134,GM134)=0,"",ROUND(GH134*20%+GI134*15%+GJ134*15%+GK134*20%+GL134*15%+GM134*15%,0))</x:f>
      </x:c>
      <x:c r="GP134" t="str">
        <x:f>IF(COUNTA(GO134,GK134,GJ134,GL134,GM134)=0,"",ROUND(GO134*30%+GK134*25%+GJ134*20%+GL134*15%+GM134*10%,0))</x:f>
      </x:c>
      <x:c r="GZ134" t="str">
        <x:f>IF(GR134=0,"",GX134/GR134)</x:f>
      </x:c>
    </x:row>
    <x:row r="135">
      <x:c r="GN135" t="str">
        <x:f>IF(COUNTA(GH135,GI135,GJ135,GK135,GL135,GM135)=0,"",ROUND(GH135*20%+GI135*15%+GJ135*15%+GK135*20%+GL135*15%+GM135*15%,0))</x:f>
      </x:c>
      <x:c r="GP135" t="str">
        <x:f>IF(COUNTA(GO135,GK135,GJ135,GL135,GM135)=0,"",ROUND(GO135*30%+GK135*25%+GJ135*20%+GL135*15%+GM135*10%,0))</x:f>
      </x:c>
      <x:c r="GZ135" t="str">
        <x:f>IF(GR135=0,"",GX135/GR135)</x:f>
      </x:c>
    </x:row>
    <x:row r="136">
      <x:c r="GN136" t="str">
        <x:f>IF(COUNTA(GH136,GI136,GJ136,GK136,GL136,GM136)=0,"",ROUND(GH136*20%+GI136*15%+GJ136*15%+GK136*20%+GL136*15%+GM136*15%,0))</x:f>
      </x:c>
      <x:c r="GP136" t="str">
        <x:f>IF(COUNTA(GO136,GK136,GJ136,GL136,GM136)=0,"",ROUND(GO136*30%+GK136*25%+GJ136*20%+GL136*15%+GM136*10%,0))</x:f>
      </x:c>
      <x:c r="GZ136" t="str">
        <x:f>IF(GR136=0,"",GX136/GR136)</x:f>
      </x:c>
    </x:row>
    <x:row r="137">
      <x:c r="GN137" t="str">
        <x:f>IF(COUNTA(GH137,GI137,GJ137,GK137,GL137,GM137)=0,"",ROUND(GH137*20%+GI137*15%+GJ137*15%+GK137*20%+GL137*15%+GM137*15%,0))</x:f>
      </x:c>
      <x:c r="GP137" t="str">
        <x:f>IF(COUNTA(GO137,GK137,GJ137,GL137,GM137)=0,"",ROUND(GO137*30%+GK137*25%+GJ137*20%+GL137*15%+GM137*10%,0))</x:f>
      </x:c>
      <x:c r="GZ137" t="str">
        <x:f>IF(GR137=0,"",GX137/GR137)</x:f>
      </x:c>
    </x:row>
    <x:row r="138">
      <x:c r="GN138" t="str">
        <x:f>IF(COUNTA(GH138,GI138,GJ138,GK138,GL138,GM138)=0,"",ROUND(GH138*20%+GI138*15%+GJ138*15%+GK138*20%+GL138*15%+GM138*15%,0))</x:f>
      </x:c>
      <x:c r="GP138" t="str">
        <x:f>IF(COUNTA(GO138,GK138,GJ138,GL138,GM138)=0,"",ROUND(GO138*30%+GK138*25%+GJ138*20%+GL138*15%+GM138*10%,0))</x:f>
      </x:c>
      <x:c r="GZ138" t="str">
        <x:f>IF(GR138=0,"",GX138/GR138)</x:f>
      </x:c>
    </x:row>
    <x:row r="139">
      <x:c r="GN139" t="str">
        <x:f>IF(COUNTA(GH139,GI139,GJ139,GK139,GL139,GM139)=0,"",ROUND(GH139*20%+GI139*15%+GJ139*15%+GK139*20%+GL139*15%+GM139*15%,0))</x:f>
      </x:c>
      <x:c r="GP139" t="str">
        <x:f>IF(COUNTA(GO139,GK139,GJ139,GL139,GM139)=0,"",ROUND(GO139*30%+GK139*25%+GJ139*20%+GL139*15%+GM139*10%,0))</x:f>
      </x:c>
      <x:c r="GZ139" t="str">
        <x:f>IF(GR139=0,"",GX139/GR139)</x:f>
      </x:c>
    </x:row>
    <x:row r="140">
      <x:c r="GN140" t="str">
        <x:f>IF(COUNTA(GH140,GI140,GJ140,GK140,GL140,GM140)=0,"",ROUND(GH140*20%+GI140*15%+GJ140*15%+GK140*20%+GL140*15%+GM140*15%,0))</x:f>
      </x:c>
      <x:c r="GP140" t="str">
        <x:f>IF(COUNTA(GO140,GK140,GJ140,GL140,GM140)=0,"",ROUND(GO140*30%+GK140*25%+GJ140*20%+GL140*15%+GM140*10%,0))</x:f>
      </x:c>
      <x:c r="GZ140" t="str">
        <x:f>IF(GR140=0,"",GX140/GR140)</x:f>
      </x:c>
    </x:row>
    <x:row r="141">
      <x:c r="GN141" t="str">
        <x:f>IF(COUNTA(GH141,GI141,GJ141,GK141,GL141,GM141)=0,"",ROUND(GH141*20%+GI141*15%+GJ141*15%+GK141*20%+GL141*15%+GM141*15%,0))</x:f>
      </x:c>
      <x:c r="GP141" t="str">
        <x:f>IF(COUNTA(GO141,GK141,GJ141,GL141,GM141)=0,"",ROUND(GO141*30%+GK141*25%+GJ141*20%+GL141*15%+GM141*10%,0))</x:f>
      </x:c>
      <x:c r="GZ141" t="str">
        <x:f>IF(GR141=0,"",GX141/GR141)</x:f>
      </x:c>
    </x:row>
    <x:row r="142">
      <x:c r="GN142" t="str">
        <x:f>IF(COUNTA(GH142,GI142,GJ142,GK142,GL142,GM142)=0,"",ROUND(GH142*20%+GI142*15%+GJ142*15%+GK142*20%+GL142*15%+GM142*15%,0))</x:f>
      </x:c>
      <x:c r="GP142" t="str">
        <x:f>IF(COUNTA(GO142,GK142,GJ142,GL142,GM142)=0,"",ROUND(GO142*30%+GK142*25%+GJ142*20%+GL142*15%+GM142*10%,0))</x:f>
      </x:c>
      <x:c r="GZ142" t="str">
        <x:f>IF(GR142=0,"",GX142/GR142)</x:f>
      </x:c>
    </x:row>
    <x:row r="143">
      <x:c r="GN143" t="str">
        <x:f>IF(COUNTA(GH143,GI143,GJ143,GK143,GL143,GM143)=0,"",ROUND(GH143*20%+GI143*15%+GJ143*15%+GK143*20%+GL143*15%+GM143*15%,0))</x:f>
      </x:c>
      <x:c r="GP143" t="str">
        <x:f>IF(COUNTA(GO143,GK143,GJ143,GL143,GM143)=0,"",ROUND(GO143*30%+GK143*25%+GJ143*20%+GL143*15%+GM143*10%,0))</x:f>
      </x:c>
      <x:c r="GZ143" t="str">
        <x:f>IF(GR143=0,"",GX143/GR143)</x:f>
      </x:c>
    </x:row>
    <x:row r="144">
      <x:c r="GN144" t="str">
        <x:f>IF(COUNTA(GH144,GI144,GJ144,GK144,GL144,GM144)=0,"",ROUND(GH144*20%+GI144*15%+GJ144*15%+GK144*20%+GL144*15%+GM144*15%,0))</x:f>
      </x:c>
      <x:c r="GP144" t="str">
        <x:f>IF(COUNTA(GO144,GK144,GJ144,GL144,GM144)=0,"",ROUND(GO144*30%+GK144*25%+GJ144*20%+GL144*15%+GM144*10%,0))</x:f>
      </x:c>
      <x:c r="GZ144" t="str">
        <x:f>IF(GR144=0,"",GX144/GR144)</x:f>
      </x:c>
    </x:row>
    <x:row r="145">
      <x:c r="GN145" t="str">
        <x:f>IF(COUNTA(GH145,GI145,GJ145,GK145,GL145,GM145)=0,"",ROUND(GH145*20%+GI145*15%+GJ145*15%+GK145*20%+GL145*15%+GM145*15%,0))</x:f>
      </x:c>
      <x:c r="GP145" t="str">
        <x:f>IF(COUNTA(GO145,GK145,GJ145,GL145,GM145)=0,"",ROUND(GO145*30%+GK145*25%+GJ145*20%+GL145*15%+GM145*10%,0))</x:f>
      </x:c>
      <x:c r="GZ145" t="str">
        <x:f>IF(GR145=0,"",GX145/GR145)</x:f>
      </x:c>
    </x:row>
    <x:row r="146">
      <x:c r="GN146" t="str">
        <x:f>IF(COUNTA(GH146,GI146,GJ146,GK146,GL146,GM146)=0,"",ROUND(GH146*20%+GI146*15%+GJ146*15%+GK146*20%+GL146*15%+GM146*15%,0))</x:f>
      </x:c>
      <x:c r="GP146" t="str">
        <x:f>IF(COUNTA(GO146,GK146,GJ146,GL146,GM146)=0,"",ROUND(GO146*30%+GK146*25%+GJ146*20%+GL146*15%+GM146*10%,0))</x:f>
      </x:c>
      <x:c r="GZ146" t="str">
        <x:f>IF(GR146=0,"",GX146/GR146)</x:f>
      </x:c>
    </x:row>
    <x:row r="147">
      <x:c r="GN147" t="str">
        <x:f>IF(COUNTA(GH147,GI147,GJ147,GK147,GL147,GM147)=0,"",ROUND(GH147*20%+GI147*15%+GJ147*15%+GK147*20%+GL147*15%+GM147*15%,0))</x:f>
      </x:c>
      <x:c r="GP147" t="str">
        <x:f>IF(COUNTA(GO147,GK147,GJ147,GL147,GM147)=0,"",ROUND(GO147*30%+GK147*25%+GJ147*20%+GL147*15%+GM147*10%,0))</x:f>
      </x:c>
      <x:c r="GZ147" t="str">
        <x:f>IF(GR147=0,"",GX147/GR147)</x:f>
      </x:c>
    </x:row>
    <x:row r="148">
      <x:c r="GN148" t="str">
        <x:f>IF(COUNTA(GH148,GI148,GJ148,GK148,GL148,GM148)=0,"",ROUND(GH148*20%+GI148*15%+GJ148*15%+GK148*20%+GL148*15%+GM148*15%,0))</x:f>
      </x:c>
      <x:c r="GP148" t="str">
        <x:f>IF(COUNTA(GO148,GK148,GJ148,GL148,GM148)=0,"",ROUND(GO148*30%+GK148*25%+GJ148*20%+GL148*15%+GM148*10%,0))</x:f>
      </x:c>
      <x:c r="GZ148" t="str">
        <x:f>IF(GR148=0,"",GX148/GR148)</x:f>
      </x:c>
    </x:row>
    <x:row r="149">
      <x:c r="GN149" t="str">
        <x:f>IF(COUNTA(GH149,GI149,GJ149,GK149,GL149,GM149)=0,"",ROUND(GH149*20%+GI149*15%+GJ149*15%+GK149*20%+GL149*15%+GM149*15%,0))</x:f>
      </x:c>
      <x:c r="GP149" t="str">
        <x:f>IF(COUNTA(GO149,GK149,GJ149,GL149,GM149)=0,"",ROUND(GO149*30%+GK149*25%+GJ149*20%+GL149*15%+GM149*10%,0))</x:f>
      </x:c>
      <x:c r="GZ149" t="str">
        <x:f>IF(GR149=0,"",GX149/GR149)</x:f>
      </x:c>
    </x:row>
    <x:row r="150">
      <x:c r="GN150" t="str">
        <x:f>IF(COUNTA(GH150,GI150,GJ150,GK150,GL150,GM150)=0,"",ROUND(GH150*20%+GI150*15%+GJ150*15%+GK150*20%+GL150*15%+GM150*15%,0))</x:f>
      </x:c>
      <x:c r="GP150" t="str">
        <x:f>IF(COUNTA(GO150,GK150,GJ150,GL150,GM150)=0,"",ROUND(GO150*30%+GK150*25%+GJ150*20%+GL150*15%+GM150*10%,0))</x:f>
      </x:c>
      <x:c r="GZ150" t="str">
        <x:f>IF(GR150=0,"",GX150/GR150)</x:f>
      </x:c>
    </x:row>
    <x:row r="151">
      <x:c r="GN151" t="str">
        <x:f>IF(COUNTA(GH151,GI151,GJ151,GK151,GL151,GM151)=0,"",ROUND(GH151*20%+GI151*15%+GJ151*15%+GK151*20%+GL151*15%+GM151*15%,0))</x:f>
      </x:c>
      <x:c r="GP151" t="str">
        <x:f>IF(COUNTA(GO151,GK151,GJ151,GL151,GM151)=0,"",ROUND(GO151*30%+GK151*25%+GJ151*20%+GL151*15%+GM151*10%,0))</x:f>
      </x:c>
      <x:c r="GZ151" t="str">
        <x:f>IF(GR151=0,"",GX151/GR151)</x:f>
      </x:c>
    </x:row>
    <x:row r="152">
      <x:c r="GN152" t="str">
        <x:f>IF(COUNTA(GH152,GI152,GJ152,GK152,GL152,GM152)=0,"",ROUND(GH152*20%+GI152*15%+GJ152*15%+GK152*20%+GL152*15%+GM152*15%,0))</x:f>
      </x:c>
      <x:c r="GP152" t="str">
        <x:f>IF(COUNTA(GO152,GK152,GJ152,GL152,GM152)=0,"",ROUND(GO152*30%+GK152*25%+GJ152*20%+GL152*15%+GM152*10%,0))</x:f>
      </x:c>
      <x:c r="GZ152" t="str">
        <x:f>IF(GR152=0,"",GX152/GR152)</x:f>
      </x:c>
    </x:row>
    <x:row r="153">
      <x:c r="GN153" t="str">
        <x:f>IF(COUNTA(GH153,GI153,GJ153,GK153,GL153,GM153)=0,"",ROUND(GH153*20%+GI153*15%+GJ153*15%+GK153*20%+GL153*15%+GM153*15%,0))</x:f>
      </x:c>
      <x:c r="GP153" t="str">
        <x:f>IF(COUNTA(GO153,GK153,GJ153,GL153,GM153)=0,"",ROUND(GO153*30%+GK153*25%+GJ153*20%+GL153*15%+GM153*10%,0))</x:f>
      </x:c>
      <x:c r="GZ153" t="str">
        <x:f>IF(GR153=0,"",GX153/GR153)</x:f>
      </x:c>
    </x:row>
    <x:row r="154">
      <x:c r="GN154" t="str">
        <x:f>IF(COUNTA(GH154,GI154,GJ154,GK154,GL154,GM154)=0,"",ROUND(GH154*20%+GI154*15%+GJ154*15%+GK154*20%+GL154*15%+GM154*15%,0))</x:f>
      </x:c>
      <x:c r="GP154" t="str">
        <x:f>IF(COUNTA(GO154,GK154,GJ154,GL154,GM154)=0,"",ROUND(GO154*30%+GK154*25%+GJ154*20%+GL154*15%+GM154*10%,0))</x:f>
      </x:c>
      <x:c r="GZ154" t="str">
        <x:f>IF(GR154=0,"",GX154/GR154)</x:f>
      </x:c>
    </x:row>
    <x:row r="155">
      <x:c r="GN155" t="str">
        <x:f>IF(COUNTA(GH155,GI155,GJ155,GK155,GL155,GM155)=0,"",ROUND(GH155*20%+GI155*15%+GJ155*15%+GK155*20%+GL155*15%+GM155*15%,0))</x:f>
      </x:c>
      <x:c r="GP155" t="str">
        <x:f>IF(COUNTA(GO155,GK155,GJ155,GL155,GM155)=0,"",ROUND(GO155*30%+GK155*25%+GJ155*20%+GL155*15%+GM155*10%,0))</x:f>
      </x:c>
      <x:c r="GZ155" t="str">
        <x:f>IF(GR155=0,"",GX155/GR155)</x:f>
      </x:c>
    </x:row>
    <x:row r="156">
      <x:c r="GN156" t="str">
        <x:f>IF(COUNTA(GH156,GI156,GJ156,GK156,GL156,GM156)=0,"",ROUND(GH156*20%+GI156*15%+GJ156*15%+GK156*20%+GL156*15%+GM156*15%,0))</x:f>
      </x:c>
      <x:c r="GP156" t="str">
        <x:f>IF(COUNTA(GO156,GK156,GJ156,GL156,GM156)=0,"",ROUND(GO156*30%+GK156*25%+GJ156*20%+GL156*15%+GM156*10%,0))</x:f>
      </x:c>
      <x:c r="GZ156" t="str">
        <x:f>IF(GR156=0,"",GX156/GR156)</x:f>
      </x:c>
    </x:row>
    <x:row r="157">
      <x:c r="GN157" t="str">
        <x:f>IF(COUNTA(GH157,GI157,GJ157,GK157,GL157,GM157)=0,"",ROUND(GH157*20%+GI157*15%+GJ157*15%+GK157*20%+GL157*15%+GM157*15%,0))</x:f>
      </x:c>
      <x:c r="GP157" t="str">
        <x:f>IF(COUNTA(GO157,GK157,GJ157,GL157,GM157)=0,"",ROUND(GO157*30%+GK157*25%+GJ157*20%+GL157*15%+GM157*10%,0))</x:f>
      </x:c>
      <x:c r="GZ157" t="str">
        <x:f>IF(GR157=0,"",GX157/GR157)</x:f>
      </x:c>
    </x:row>
    <x:row r="158">
      <x:c r="GN158" t="str">
        <x:f>IF(COUNTA(GH158,GI158,GJ158,GK158,GL158,GM158)=0,"",ROUND(GH158*20%+GI158*15%+GJ158*15%+GK158*20%+GL158*15%+GM158*15%,0))</x:f>
      </x:c>
      <x:c r="GP158" t="str">
        <x:f>IF(COUNTA(GO158,GK158,GJ158,GL158,GM158)=0,"",ROUND(GO158*30%+GK158*25%+GJ158*20%+GL158*15%+GM158*10%,0))</x:f>
      </x:c>
      <x:c r="GZ158" t="str">
        <x:f>IF(GR158=0,"",GX158/GR158)</x:f>
      </x:c>
    </x:row>
    <x:row r="159">
      <x:c r="GN159" t="str">
        <x:f>IF(COUNTA(GH159,GI159,GJ159,GK159,GL159,GM159)=0,"",ROUND(GH159*20%+GI159*15%+GJ159*15%+GK159*20%+GL159*15%+GM159*15%,0))</x:f>
      </x:c>
      <x:c r="GP159" t="str">
        <x:f>IF(COUNTA(GO159,GK159,GJ159,GL159,GM159)=0,"",ROUND(GO159*30%+GK159*25%+GJ159*20%+GL159*15%+GM159*10%,0))</x:f>
      </x:c>
      <x:c r="GZ159" t="str">
        <x:f>IF(GR159=0,"",GX159/GR159)</x:f>
      </x:c>
    </x:row>
    <x:row r="160">
      <x:c r="GN160" t="str">
        <x:f>IF(COUNTA(GH160,GI160,GJ160,GK160,GL160,GM160)=0,"",ROUND(GH160*20%+GI160*15%+GJ160*15%+GK160*20%+GL160*15%+GM160*15%,0))</x:f>
      </x:c>
      <x:c r="GP160" t="str">
        <x:f>IF(COUNTA(GO160,GK160,GJ160,GL160,GM160)=0,"",ROUND(GO160*30%+GK160*25%+GJ160*20%+GL160*15%+GM160*10%,0))</x:f>
      </x:c>
      <x:c r="GZ160" t="str">
        <x:f>IF(GR160=0,"",GX160/GR160)</x:f>
      </x:c>
    </x:row>
    <x:row r="161">
      <x:c r="GN161" t="str">
        <x:f>IF(COUNTA(GH161,GI161,GJ161,GK161,GL161,GM161)=0,"",ROUND(GH161*20%+GI161*15%+GJ161*15%+GK161*20%+GL161*15%+GM161*15%,0))</x:f>
      </x:c>
      <x:c r="GP161" t="str">
        <x:f>IF(COUNTA(GO161,GK161,GJ161,GL161,GM161)=0,"",ROUND(GO161*30%+GK161*25%+GJ161*20%+GL161*15%+GM161*10%,0))</x:f>
      </x:c>
      <x:c r="GZ161" t="str">
        <x:f>IF(GR161=0,"",GX161/GR161)</x:f>
      </x:c>
    </x:row>
    <x:row r="162">
      <x:c r="GN162" t="str">
        <x:f>IF(COUNTA(GH162,GI162,GJ162,GK162,GL162,GM162)=0,"",ROUND(GH162*20%+GI162*15%+GJ162*15%+GK162*20%+GL162*15%+GM162*15%,0))</x:f>
      </x:c>
      <x:c r="GP162" t="str">
        <x:f>IF(COUNTA(GO162,GK162,GJ162,GL162,GM162)=0,"",ROUND(GO162*30%+GK162*25%+GJ162*20%+GL162*15%+GM162*10%,0))</x:f>
      </x:c>
      <x:c r="GZ162" t="str">
        <x:f>IF(GR162=0,"",GX162/GR162)</x:f>
      </x:c>
    </x:row>
    <x:row r="163">
      <x:c r="GN163" t="str">
        <x:f>IF(COUNTA(GH163,GI163,GJ163,GK163,GL163,GM163)=0,"",ROUND(GH163*20%+GI163*15%+GJ163*15%+GK163*20%+GL163*15%+GM163*15%,0))</x:f>
      </x:c>
      <x:c r="GP163" t="str">
        <x:f>IF(COUNTA(GO163,GK163,GJ163,GL163,GM163)=0,"",ROUND(GO163*30%+GK163*25%+GJ163*20%+GL163*15%+GM163*10%,0))</x:f>
      </x:c>
      <x:c r="GZ163" t="str">
        <x:f>IF(GR163=0,"",GX163/GR163)</x:f>
      </x:c>
    </x:row>
    <x:row r="164">
      <x:c r="GN164" t="str">
        <x:f>IF(COUNTA(GH164,GI164,GJ164,GK164,GL164,GM164)=0,"",ROUND(GH164*20%+GI164*15%+GJ164*15%+GK164*20%+GL164*15%+GM164*15%,0))</x:f>
      </x:c>
      <x:c r="GP164" t="str">
        <x:f>IF(COUNTA(GO164,GK164,GJ164,GL164,GM164)=0,"",ROUND(GO164*30%+GK164*25%+GJ164*20%+GL164*15%+GM164*10%,0))</x:f>
      </x:c>
      <x:c r="GZ164" t="str">
        <x:f>IF(GR164=0,"",GX164/GR164)</x:f>
      </x:c>
    </x:row>
    <x:row r="165">
      <x:c r="GN165" t="str">
        <x:f>IF(COUNTA(GH165,GI165,GJ165,GK165,GL165,GM165)=0,"",ROUND(GH165*20%+GI165*15%+GJ165*15%+GK165*20%+GL165*15%+GM165*15%,0))</x:f>
      </x:c>
      <x:c r="GP165" t="str">
        <x:f>IF(COUNTA(GO165,GK165,GJ165,GL165,GM165)=0,"",ROUND(GO165*30%+GK165*25%+GJ165*20%+GL165*15%+GM165*10%,0))</x:f>
      </x:c>
      <x:c r="GZ165" t="str">
        <x:f>IF(GR165=0,"",GX165/GR165)</x:f>
      </x:c>
    </x:row>
    <x:row r="166">
      <x:c r="GN166" t="str">
        <x:f>IF(COUNTA(GH166,GI166,GJ166,GK166,GL166,GM166)=0,"",ROUND(GH166*20%+GI166*15%+GJ166*15%+GK166*20%+GL166*15%+GM166*15%,0))</x:f>
      </x:c>
      <x:c r="GP166" t="str">
        <x:f>IF(COUNTA(GO166,GK166,GJ166,GL166,GM166)=0,"",ROUND(GO166*30%+GK166*25%+GJ166*20%+GL166*15%+GM166*10%,0))</x:f>
      </x:c>
      <x:c r="GZ166" t="str">
        <x:f>IF(GR166=0,"",GX166/GR166)</x:f>
      </x:c>
    </x:row>
    <x:row r="167">
      <x:c r="GN167" t="str">
        <x:f>IF(COUNTA(GH167,GI167,GJ167,GK167,GL167,GM167)=0,"",ROUND(GH167*20%+GI167*15%+GJ167*15%+GK167*20%+GL167*15%+GM167*15%,0))</x:f>
      </x:c>
      <x:c r="GP167" t="str">
        <x:f>IF(COUNTA(GO167,GK167,GJ167,GL167,GM167)=0,"",ROUND(GO167*30%+GK167*25%+GJ167*20%+GL167*15%+GM167*10%,0))</x:f>
      </x:c>
      <x:c r="GZ167" t="str">
        <x:f>IF(GR167=0,"",GX167/GR167)</x:f>
      </x:c>
    </x:row>
    <x:row r="168">
      <x:c r="GN168" t="str">
        <x:f>IF(COUNTA(GH168,GI168,GJ168,GK168,GL168,GM168)=0,"",ROUND(GH168*20%+GI168*15%+GJ168*15%+GK168*20%+GL168*15%+GM168*15%,0))</x:f>
      </x:c>
      <x:c r="GP168" t="str">
        <x:f>IF(COUNTA(GO168,GK168,GJ168,GL168,GM168)=0,"",ROUND(GO168*30%+GK168*25%+GJ168*20%+GL168*15%+GM168*10%,0))</x:f>
      </x:c>
      <x:c r="GZ168" t="str">
        <x:f>IF(GR168=0,"",GX168/GR168)</x:f>
      </x:c>
    </x:row>
    <x:row r="169">
      <x:c r="GN169" t="str">
        <x:f>IF(COUNTA(GH169,GI169,GJ169,GK169,GL169,GM169)=0,"",ROUND(GH169*20%+GI169*15%+GJ169*15%+GK169*20%+GL169*15%+GM169*15%,0))</x:f>
      </x:c>
      <x:c r="GP169" t="str">
        <x:f>IF(COUNTA(GO169,GK169,GJ169,GL169,GM169)=0,"",ROUND(GO169*30%+GK169*25%+GJ169*20%+GL169*15%+GM169*10%,0))</x:f>
      </x:c>
      <x:c r="GZ169" t="str">
        <x:f>IF(GR169=0,"",GX169/GR169)</x:f>
      </x:c>
    </x:row>
    <x:row r="170">
      <x:c r="GN170" t="str">
        <x:f>IF(COUNTA(GH170,GI170,GJ170,GK170,GL170,GM170)=0,"",ROUND(GH170*20%+GI170*15%+GJ170*15%+GK170*20%+GL170*15%+GM170*15%,0))</x:f>
      </x:c>
      <x:c r="GP170" t="str">
        <x:f>IF(COUNTA(GO170,GK170,GJ170,GL170,GM170)=0,"",ROUND(GO170*30%+GK170*25%+GJ170*20%+GL170*15%+GM170*10%,0))</x:f>
      </x:c>
      <x:c r="GZ170" t="str">
        <x:f>IF(GR170=0,"",GX170/GR170)</x:f>
      </x:c>
    </x:row>
    <x:row r="171">
      <x:c r="GN171" t="str">
        <x:f>IF(COUNTA(GH171,GI171,GJ171,GK171,GL171,GM171)=0,"",ROUND(GH171*20%+GI171*15%+GJ171*15%+GK171*20%+GL171*15%+GM171*15%,0))</x:f>
      </x:c>
      <x:c r="GP171" t="str">
        <x:f>IF(COUNTA(GO171,GK171,GJ171,GL171,GM171)=0,"",ROUND(GO171*30%+GK171*25%+GJ171*20%+GL171*15%+GM171*10%,0))</x:f>
      </x:c>
      <x:c r="GZ171" t="str">
        <x:f>IF(GR171=0,"",GX171/GR171)</x:f>
      </x:c>
    </x:row>
    <x:row r="172">
      <x:c r="GN172" t="str">
        <x:f>IF(COUNTA(GH172,GI172,GJ172,GK172,GL172,GM172)=0,"",ROUND(GH172*20%+GI172*15%+GJ172*15%+GK172*20%+GL172*15%+GM172*15%,0))</x:f>
      </x:c>
      <x:c r="GP172" t="str">
        <x:f>IF(COUNTA(GO172,GK172,GJ172,GL172,GM172)=0,"",ROUND(GO172*30%+GK172*25%+GJ172*20%+GL172*15%+GM172*10%,0))</x:f>
      </x:c>
      <x:c r="GZ172" t="str">
        <x:f>IF(GR172=0,"",GX172/GR172)</x:f>
      </x:c>
    </x:row>
    <x:row r="173">
      <x:c r="GN173" t="str">
        <x:f>IF(COUNTA(GH173,GI173,GJ173,GK173,GL173,GM173)=0,"",ROUND(GH173*20%+GI173*15%+GJ173*15%+GK173*20%+GL173*15%+GM173*15%,0))</x:f>
      </x:c>
      <x:c r="GP173" t="str">
        <x:f>IF(COUNTA(GO173,GK173,GJ173,GL173,GM173)=0,"",ROUND(GO173*30%+GK173*25%+GJ173*20%+GL173*15%+GM173*10%,0))</x:f>
      </x:c>
      <x:c r="GZ173" t="str">
        <x:f>IF(GR173=0,"",GX173/GR173)</x:f>
      </x:c>
    </x:row>
    <x:row r="174">
      <x:c r="GN174" t="str">
        <x:f>IF(COUNTA(GH174,GI174,GJ174,GK174,GL174,GM174)=0,"",ROUND(GH174*20%+GI174*15%+GJ174*15%+GK174*20%+GL174*15%+GM174*15%,0))</x:f>
      </x:c>
      <x:c r="GP174" t="str">
        <x:f>IF(COUNTA(GO174,GK174,GJ174,GL174,GM174)=0,"",ROUND(GO174*30%+GK174*25%+GJ174*20%+GL174*15%+GM174*10%,0))</x:f>
      </x:c>
      <x:c r="GZ174" t="str">
        <x:f>IF(GR174=0,"",GX174/GR174)</x:f>
      </x:c>
    </x:row>
    <x:row r="175">
      <x:c r="GN175" t="str">
        <x:f>IF(COUNTA(GH175,GI175,GJ175,GK175,GL175,GM175)=0,"",ROUND(GH175*20%+GI175*15%+GJ175*15%+GK175*20%+GL175*15%+GM175*15%,0))</x:f>
      </x:c>
      <x:c r="GP175" t="str">
        <x:f>IF(COUNTA(GO175,GK175,GJ175,GL175,GM175)=0,"",ROUND(GO175*30%+GK175*25%+GJ175*20%+GL175*15%+GM175*10%,0))</x:f>
      </x:c>
      <x:c r="GZ175" t="str">
        <x:f>IF(GR175=0,"",GX175/GR175)</x:f>
      </x:c>
    </x:row>
    <x:row r="176">
      <x:c r="GN176" t="str">
        <x:f>IF(COUNTA(GH176,GI176,GJ176,GK176,GL176,GM176)=0,"",ROUND(GH176*20%+GI176*15%+GJ176*15%+GK176*20%+GL176*15%+GM176*15%,0))</x:f>
      </x:c>
      <x:c r="GP176" t="str">
        <x:f>IF(COUNTA(GO176,GK176,GJ176,GL176,GM176)=0,"",ROUND(GO176*30%+GK176*25%+GJ176*20%+GL176*15%+GM176*10%,0))</x:f>
      </x:c>
      <x:c r="GZ176" t="str">
        <x:f>IF(GR176=0,"",GX176/GR176)</x:f>
      </x:c>
    </x:row>
    <x:row r="177">
      <x:c r="GN177" t="str">
        <x:f>IF(COUNTA(GH177,GI177,GJ177,GK177,GL177,GM177)=0,"",ROUND(GH177*20%+GI177*15%+GJ177*15%+GK177*20%+GL177*15%+GM177*15%,0))</x:f>
      </x:c>
      <x:c r="GP177" t="str">
        <x:f>IF(COUNTA(GO177,GK177,GJ177,GL177,GM177)=0,"",ROUND(GO177*30%+GK177*25%+GJ177*20%+GL177*15%+GM177*10%,0))</x:f>
      </x:c>
      <x:c r="GZ177" t="str">
        <x:f>IF(GR177=0,"",GX177/GR177)</x:f>
      </x:c>
    </x:row>
    <x:row r="178">
      <x:c r="GN178" t="str">
        <x:f>IF(COUNTA(GH178,GI178,GJ178,GK178,GL178,GM178)=0,"",ROUND(GH178*20%+GI178*15%+GJ178*15%+GK178*20%+GL178*15%+GM178*15%,0))</x:f>
      </x:c>
      <x:c r="GP178" t="str">
        <x:f>IF(COUNTA(GO178,GK178,GJ178,GL178,GM178)=0,"",ROUND(GO178*30%+GK178*25%+GJ178*20%+GL178*15%+GM178*10%,0))</x:f>
      </x:c>
      <x:c r="GZ178" t="str">
        <x:f>IF(GR178=0,"",GX178/GR178)</x:f>
      </x:c>
    </x:row>
    <x:row r="179">
      <x:c r="GN179" t="str">
        <x:f>IF(COUNTA(GH179,GI179,GJ179,GK179,GL179,GM179)=0,"",ROUND(GH179*20%+GI179*15%+GJ179*15%+GK179*20%+GL179*15%+GM179*15%,0))</x:f>
      </x:c>
      <x:c r="GP179" t="str">
        <x:f>IF(COUNTA(GO179,GK179,GJ179,GL179,GM179)=0,"",ROUND(GO179*30%+GK179*25%+GJ179*20%+GL179*15%+GM179*10%,0))</x:f>
      </x:c>
      <x:c r="GZ179" t="str">
        <x:f>IF(GR179=0,"",GX179/GR179)</x:f>
      </x:c>
    </x:row>
    <x:row r="180">
      <x:c r="GN180" t="str">
        <x:f>IF(COUNTA(GH180,GI180,GJ180,GK180,GL180,GM180)=0,"",ROUND(GH180*20%+GI180*15%+GJ180*15%+GK180*20%+GL180*15%+GM180*15%,0))</x:f>
      </x:c>
      <x:c r="GP180" t="str">
        <x:f>IF(COUNTA(GO180,GK180,GJ180,GL180,GM180)=0,"",ROUND(GO180*30%+GK180*25%+GJ180*20%+GL180*15%+GM180*10%,0))</x:f>
      </x:c>
      <x:c r="GZ180" t="str">
        <x:f>IF(GR180=0,"",GX180/GR180)</x:f>
      </x:c>
    </x:row>
    <x:row r="181">
      <x:c r="GN181" t="str">
        <x:f>IF(COUNTA(GH181,GI181,GJ181,GK181,GL181,GM181)=0,"",ROUND(GH181*20%+GI181*15%+GJ181*15%+GK181*20%+GL181*15%+GM181*15%,0))</x:f>
      </x:c>
      <x:c r="GP181" t="str">
        <x:f>IF(COUNTA(GO181,GK181,GJ181,GL181,GM181)=0,"",ROUND(GO181*30%+GK181*25%+GJ181*20%+GL181*15%+GM181*10%,0))</x:f>
      </x:c>
      <x:c r="GZ181" t="str">
        <x:f>IF(GR181=0,"",GX181/GR181)</x:f>
      </x:c>
    </x:row>
    <x:row r="182">
      <x:c r="GN182" t="str">
        <x:f>IF(COUNTA(GH182,GI182,GJ182,GK182,GL182,GM182)=0,"",ROUND(GH182*20%+GI182*15%+GJ182*15%+GK182*20%+GL182*15%+GM182*15%,0))</x:f>
      </x:c>
      <x:c r="GP182" t="str">
        <x:f>IF(COUNTA(GO182,GK182,GJ182,GL182,GM182)=0,"",ROUND(GO182*30%+GK182*25%+GJ182*20%+GL182*15%+GM182*10%,0))</x:f>
      </x:c>
      <x:c r="GZ182" t="str">
        <x:f>IF(GR182=0,"",GX182/GR182)</x:f>
      </x:c>
    </x:row>
    <x:row r="183">
      <x:c r="GN183" t="str">
        <x:f>IF(COUNTA(GH183,GI183,GJ183,GK183,GL183,GM183)=0,"",ROUND(GH183*20%+GI183*15%+GJ183*15%+GK183*20%+GL183*15%+GM183*15%,0))</x:f>
      </x:c>
      <x:c r="GP183" t="str">
        <x:f>IF(COUNTA(GO183,GK183,GJ183,GL183,GM183)=0,"",ROUND(GO183*30%+GK183*25%+GJ183*20%+GL183*15%+GM183*10%,0))</x:f>
      </x:c>
      <x:c r="GZ183" t="str">
        <x:f>IF(GR183=0,"",GX183/GR183)</x:f>
      </x:c>
    </x:row>
    <x:row r="184">
      <x:c r="GN184" t="str">
        <x:f>IF(COUNTA(GH184,GI184,GJ184,GK184,GL184,GM184)=0,"",ROUND(GH184*20%+GI184*15%+GJ184*15%+GK184*20%+GL184*15%+GM184*15%,0))</x:f>
      </x:c>
      <x:c r="GP184" t="str">
        <x:f>IF(COUNTA(GO184,GK184,GJ184,GL184,GM184)=0,"",ROUND(GO184*30%+GK184*25%+GJ184*20%+GL184*15%+GM184*10%,0))</x:f>
      </x:c>
      <x:c r="GZ184" t="str">
        <x:f>IF(GR184=0,"",GX184/GR184)</x:f>
      </x:c>
    </x:row>
    <x:row r="185">
      <x:c r="GN185" t="str">
        <x:f>IF(COUNTA(GH185,GI185,GJ185,GK185,GL185,GM185)=0,"",ROUND(GH185*20%+GI185*15%+GJ185*15%+GK185*20%+GL185*15%+GM185*15%,0))</x:f>
      </x:c>
      <x:c r="GP185" t="str">
        <x:f>IF(COUNTA(GO185,GK185,GJ185,GL185,GM185)=0,"",ROUND(GO185*30%+GK185*25%+GJ185*20%+GL185*15%+GM185*10%,0))</x:f>
      </x:c>
      <x:c r="GZ185" t="str">
        <x:f>IF(GR185=0,"",GX185/GR185)</x:f>
      </x:c>
    </x:row>
    <x:row r="186">
      <x:c r="GN186" t="str">
        <x:f>IF(COUNTA(GH186,GI186,GJ186,GK186,GL186,GM186)=0,"",ROUND(GH186*20%+GI186*15%+GJ186*15%+GK186*20%+GL186*15%+GM186*15%,0))</x:f>
      </x:c>
      <x:c r="GP186" t="str">
        <x:f>IF(COUNTA(GO186,GK186,GJ186,GL186,GM186)=0,"",ROUND(GO186*30%+GK186*25%+GJ186*20%+GL186*15%+GM186*10%,0))</x:f>
      </x:c>
      <x:c r="GZ186" t="str">
        <x:f>IF(GR186=0,"",GX186/GR186)</x:f>
      </x:c>
    </x:row>
    <x:row r="187">
      <x:c r="GN187" t="str">
        <x:f>IF(COUNTA(GH187,GI187,GJ187,GK187,GL187,GM187)=0,"",ROUND(GH187*20%+GI187*15%+GJ187*15%+GK187*20%+GL187*15%+GM187*15%,0))</x:f>
      </x:c>
      <x:c r="GP187" t="str">
        <x:f>IF(COUNTA(GO187,GK187,GJ187,GL187,GM187)=0,"",ROUND(GO187*30%+GK187*25%+GJ187*20%+GL187*15%+GM187*10%,0))</x:f>
      </x:c>
      <x:c r="GZ187" t="str">
        <x:f>IF(GR187=0,"",GX187/GR187)</x:f>
      </x:c>
    </x:row>
    <x:row r="188">
      <x:c r="GN188" t="str">
        <x:f>IF(COUNTA(GH188,GI188,GJ188,GK188,GL188,GM188)=0,"",ROUND(GH188*20%+GI188*15%+GJ188*15%+GK188*20%+GL188*15%+GM188*15%,0))</x:f>
      </x:c>
      <x:c r="GP188" t="str">
        <x:f>IF(COUNTA(GO188,GK188,GJ188,GL188,GM188)=0,"",ROUND(GO188*30%+GK188*25%+GJ188*20%+GL188*15%+GM188*10%,0))</x:f>
      </x:c>
      <x:c r="GZ188" t="str">
        <x:f>IF(GR188=0,"",GX188/GR188)</x:f>
      </x:c>
    </x:row>
    <x:row r="189">
      <x:c r="GN189" t="str">
        <x:f>IF(COUNTA(GH189,GI189,GJ189,GK189,GL189,GM189)=0,"",ROUND(GH189*20%+GI189*15%+GJ189*15%+GK189*20%+GL189*15%+GM189*15%,0))</x:f>
      </x:c>
      <x:c r="GP189" t="str">
        <x:f>IF(COUNTA(GO189,GK189,GJ189,GL189,GM189)=0,"",ROUND(GO189*30%+GK189*25%+GJ189*20%+GL189*15%+GM189*10%,0))</x:f>
      </x:c>
      <x:c r="GZ189" t="str">
        <x:f>IF(GR189=0,"",GX189/GR189)</x:f>
      </x:c>
    </x:row>
    <x:row r="190">
      <x:c r="GN190" t="str">
        <x:f>IF(COUNTA(GH190,GI190,GJ190,GK190,GL190,GM190)=0,"",ROUND(GH190*20%+GI190*15%+GJ190*15%+GK190*20%+GL190*15%+GM190*15%,0))</x:f>
      </x:c>
      <x:c r="GP190" t="str">
        <x:f>IF(COUNTA(GO190,GK190,GJ190,GL190,GM190)=0,"",ROUND(GO190*30%+GK190*25%+GJ190*20%+GL190*15%+GM190*10%,0))</x:f>
      </x:c>
      <x:c r="GZ190" t="str">
        <x:f>IF(GR190=0,"",GX190/GR190)</x:f>
      </x:c>
    </x:row>
    <x:row r="191">
      <x:c r="GN191" t="str">
        <x:f>IF(COUNTA(GH191,GI191,GJ191,GK191,GL191,GM191)=0,"",ROUND(GH191*20%+GI191*15%+GJ191*15%+GK191*20%+GL191*15%+GM191*15%,0))</x:f>
      </x:c>
      <x:c r="GP191" t="str">
        <x:f>IF(COUNTA(GO191,GK191,GJ191,GL191,GM191)=0,"",ROUND(GO191*30%+GK191*25%+GJ191*20%+GL191*15%+GM191*10%,0))</x:f>
      </x:c>
      <x:c r="GZ191" t="str">
        <x:f>IF(GR191=0,"",GX191/GR191)</x:f>
      </x:c>
    </x:row>
    <x:row r="192">
      <x:c r="GN192" t="str">
        <x:f>IF(COUNTA(GH192,GI192,GJ192,GK192,GL192,GM192)=0,"",ROUND(GH192*20%+GI192*15%+GJ192*15%+GK192*20%+GL192*15%+GM192*15%,0))</x:f>
      </x:c>
      <x:c r="GP192" t="str">
        <x:f>IF(COUNTA(GO192,GK192,GJ192,GL192,GM192)=0,"",ROUND(GO192*30%+GK192*25%+GJ192*20%+GL192*15%+GM192*10%,0))</x:f>
      </x:c>
      <x:c r="GZ192" t="str">
        <x:f>IF(GR192=0,"",GX192/GR192)</x:f>
      </x:c>
    </x:row>
    <x:row r="193">
      <x:c r="GN193" t="str">
        <x:f>IF(COUNTA(GH193,GI193,GJ193,GK193,GL193,GM193)=0,"",ROUND(GH193*20%+GI193*15%+GJ193*15%+GK193*20%+GL193*15%+GM193*15%,0))</x:f>
      </x:c>
      <x:c r="GP193" t="str">
        <x:f>IF(COUNTA(GO193,GK193,GJ193,GL193,GM193)=0,"",ROUND(GO193*30%+GK193*25%+GJ193*20%+GL193*15%+GM193*10%,0))</x:f>
      </x:c>
      <x:c r="GZ193" t="str">
        <x:f>IF(GR193=0,"",GX193/GR193)</x:f>
      </x:c>
    </x:row>
    <x:row r="194">
      <x:c r="GN194" t="str">
        <x:f>IF(COUNTA(GH194,GI194,GJ194,GK194,GL194,GM194)=0,"",ROUND(GH194*20%+GI194*15%+GJ194*15%+GK194*20%+GL194*15%+GM194*15%,0))</x:f>
      </x:c>
      <x:c r="GP194" t="str">
        <x:f>IF(COUNTA(GO194,GK194,GJ194,GL194,GM194)=0,"",ROUND(GO194*30%+GK194*25%+GJ194*20%+GL194*15%+GM194*10%,0))</x:f>
      </x:c>
      <x:c r="GZ194" t="str">
        <x:f>IF(GR194=0,"",GX194/GR194)</x:f>
      </x:c>
    </x:row>
    <x:row r="195">
      <x:c r="GN195" t="str">
        <x:f>IF(COUNTA(GH195,GI195,GJ195,GK195,GL195,GM195)=0,"",ROUND(GH195*20%+GI195*15%+GJ195*15%+GK195*20%+GL195*15%+GM195*15%,0))</x:f>
      </x:c>
      <x:c r="GP195" t="str">
        <x:f>IF(COUNTA(GO195,GK195,GJ195,GL195,GM195)=0,"",ROUND(GO195*30%+GK195*25%+GJ195*20%+GL195*15%+GM195*10%,0))</x:f>
      </x:c>
      <x:c r="GZ195" t="str">
        <x:f>IF(GR195=0,"",GX195/GR195)</x:f>
      </x:c>
    </x:row>
    <x:row r="196">
      <x:c r="GN196" t="str">
        <x:f>IF(COUNTA(GH196,GI196,GJ196,GK196,GL196,GM196)=0,"",ROUND(GH196*20%+GI196*15%+GJ196*15%+GK196*20%+GL196*15%+GM196*15%,0))</x:f>
      </x:c>
      <x:c r="GP196" t="str">
        <x:f>IF(COUNTA(GO196,GK196,GJ196,GL196,GM196)=0,"",ROUND(GO196*30%+GK196*25%+GJ196*20%+GL196*15%+GM196*10%,0))</x:f>
      </x:c>
      <x:c r="GZ196" t="str">
        <x:f>IF(GR196=0,"",GX196/GR196)</x:f>
      </x:c>
    </x:row>
    <x:row r="197">
      <x:c r="GN197" t="str">
        <x:f>IF(COUNTA(GH197,GI197,GJ197,GK197,GL197,GM197)=0,"",ROUND(GH197*20%+GI197*15%+GJ197*15%+GK197*20%+GL197*15%+GM197*15%,0))</x:f>
      </x:c>
      <x:c r="GP197" t="str">
        <x:f>IF(COUNTA(GO197,GK197,GJ197,GL197,GM197)=0,"",ROUND(GO197*30%+GK197*25%+GJ197*20%+GL197*15%+GM197*10%,0))</x:f>
      </x:c>
      <x:c r="GZ197" t="str">
        <x:f>IF(GR197=0,"",GX197/GR197)</x:f>
      </x:c>
    </x:row>
    <x:row r="198">
      <x:c r="GN198" t="str">
        <x:f>IF(COUNTA(GH198,GI198,GJ198,GK198,GL198,GM198)=0,"",ROUND(GH198*20%+GI198*15%+GJ198*15%+GK198*20%+GL198*15%+GM198*15%,0))</x:f>
      </x:c>
      <x:c r="GP198" t="str">
        <x:f>IF(COUNTA(GO198,GK198,GJ198,GL198,GM198)=0,"",ROUND(GO198*30%+GK198*25%+GJ198*20%+GL198*15%+GM198*10%,0))</x:f>
      </x:c>
      <x:c r="GZ198" t="str">
        <x:f>IF(GR198=0,"",GX198/GR198)</x:f>
      </x:c>
    </x:row>
    <x:row r="199">
      <x:c r="GN199" t="str">
        <x:f>IF(COUNTA(GH199,GI199,GJ199,GK199,GL199,GM199)=0,"",ROUND(GH199*20%+GI199*15%+GJ199*15%+GK199*20%+GL199*15%+GM199*15%,0))</x:f>
      </x:c>
      <x:c r="GP199" t="str">
        <x:f>IF(COUNTA(GO199,GK199,GJ199,GL199,GM199)=0,"",ROUND(GO199*30%+GK199*25%+GJ199*20%+GL199*15%+GM199*10%,0))</x:f>
      </x:c>
      <x:c r="GZ199" t="str">
        <x:f>IF(GR199=0,"",GX199/GR199)</x:f>
      </x:c>
    </x:row>
    <x:row r="200">
      <x:c r="GN200" t="str">
        <x:f>IF(COUNTA(GH200,GI200,GJ200,GK200,GL200,GM200)=0,"",ROUND(GH200*20%+GI200*15%+GJ200*15%+GK200*20%+GL200*15%+GM200*15%,0))</x:f>
      </x:c>
      <x:c r="GP200" t="str">
        <x:f>IF(COUNTA(GO200,GK200,GJ200,GL200,GM200)=0,"",ROUND(GO200*30%+GK200*25%+GJ200*20%+GL200*15%+GM200*10%,0))</x:f>
      </x:c>
      <x:c r="GZ200" t="str">
        <x:f>IF(GR200=0,"",GX200/GR200)</x:f>
      </x:c>
    </x:row>
  </x:sheetData>
  <x:conditionalFormatting sqref="GN3:GN200">
    <x:cfRule type="colorScale" priority="1">
      <x:colorScale>
        <x:cfvo type="min"/>
        <x:cfvo type="percentile" val="50"/>
        <x:cfvo type="max"/>
        <x:color rgb="FFFDECEC"/>
        <x:color rgb="FFFFF2D9"/>
        <x:color rgb="FFE8F4EA"/>
      </x:colorScale>
    </x:cfRule>
  </x:conditionalFormatting>
  <x:conditionalFormatting sqref="GP3:GP200">
    <x:cfRule type="dataBar" priority="2">
      <x:dataBar>
        <x:cfvo type="min"/>
        <x:cfvo type="max"/>
        <x:color rgb="FF8B6AA8"/>
      </x:dataBar>
      <x:extLst>
        <x:ext xmlns:x14="http://schemas.microsoft.com/office/spreadsheetml/2009/9/main" uri="{B025F937-C7B1-47D3-B67F-A62EFF666E3E}">
          <x14:id>{E0AA99C7-AF2D-E4D9-34A5-F16F9ECFF173}</x14:id>
        </x:ext>
      </x:extLst>
    </x:cfRule>
  </x:conditionalFormatting>
  <x:dataValidations count="10">
    <x:dataValidation type="list" sqref="I3:I200">
      <x:formula1>Validation_Lists!$A$2:$A$9</x:formula1>
    </x:dataValidation>
    <x:dataValidation type="list" sqref="L3:L200">
      <x:formula1>Validation_Lists!$B$2:$B$6</x:formula1>
    </x:dataValidation>
    <x:dataValidation type="list" sqref="M3:M200">
      <x:formula1>Validation_Lists!$C$2:$C$36</x:formula1>
    </x:dataValidation>
    <x:dataValidation type="list" sqref="EC3:EC200">
      <x:formula1>Validation_Lists!$D$2:$D$6</x:formula1>
    </x:dataValidation>
    <x:dataValidation type="list" sqref="BI3:BI200">
      <x:formula1>Validation_Lists!$E$2:$E$5</x:formula1>
    </x:dataValidation>
    <x:dataValidation type="list" sqref="BS3:BS200">
      <x:formula1>Validation_Lists!$F$2:$F$17</x:formula1>
    </x:dataValidation>
    <x:dataValidation type="list" sqref="CC3:CC200">
      <x:formula1>Validation_Lists!$G$2:$G$11</x:formula1>
    </x:dataValidation>
    <x:dataValidation type="list" sqref="DN3:DN200">
      <x:formula1>Validation_Lists!$H$2:$H$8</x:formula1>
    </x:dataValidation>
    <x:dataValidation type="list" sqref="EX3:EX200">
      <x:formula1>Validation_Lists!$J$2:$J$3</x:formula1>
    </x:dataValidation>
    <x:dataValidation type="list" sqref="EY3:EY200">
      <x:formula1>Validation_Lists!$J$2:$J$3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63003d33a340e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0AA99C7-AF2D-E4D9-34A5-F16F9ECFF173}">
            <x14:dataBar gradient="1">
              <x14:cfvo type="min"/>
              <x14:cfvo type="max"/>
              <x14:fillColor rgb="FF8B6AA8"/>
            </x14:dataBar>
          </x14:cfRule>
          <xm:sqref>GP3:GP200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24" hidden="0" customWidth="1"/>
    <x:col min="5" max="5" width="18" hidden="0" customWidth="1"/>
    <x:col min="6" max="6" width="12" hidden="0" customWidth="1"/>
    <x:col min="7" max="7" width="26" hidden="0" customWidth="1"/>
    <x:col min="8" max="8" width="18" hidden="0" customWidth="1"/>
    <x:col min="9" max="9" width="28" hidden="0" customWidth="1"/>
  </x:cols>
  <x:sheetData>
    <x:row r="1">
      <x:c r="A1" s="6" t="str">
        <x:v>Group</x:v>
      </x:c>
      <x:c r="B1" s="6" t="str">
        <x:v>Field ID</x:v>
      </x:c>
      <x:c r="C1" s="6" t="str">
        <x:v>English</x:v>
      </x:c>
      <x:c r="D1" s="6" t="str">
        <x:v>中文</x:v>
      </x:c>
      <x:c r="E1" s="6" t="str">
        <x:v>Type</x:v>
      </x:c>
      <x:c r="F1" s="6" t="str">
        <x:v>Required</x:v>
      </x:c>
      <x:c r="G1" s="6" t="str">
        <x:v>Primary Source</x:v>
      </x:c>
      <x:c r="H1" s="6" t="str">
        <x:v>AI Role</x:v>
      </x:c>
      <x:c r="I1" s="6" t="str">
        <x:v>Validation / Dictionary</x:v>
      </x:c>
    </x:row>
    <x:row r="2">
      <x:c r="A2" s="22" t="str">
        <x:v>A Basic Identity</x:v>
      </x:c>
      <x:c r="B2" s="22" t="str">
        <x:v>product_id</x:v>
      </x:c>
      <x:c r="C2" s="22" t="str">
        <x:v>Product ID</x:v>
      </x:c>
      <x:c r="D2" s="22" t="str">
        <x:v>产品ID</x:v>
      </x:c>
      <x:c r="E2" s="22" t="str">
        <x:v>String</x:v>
      </x:c>
      <x:c r="F2" s="22" t="str">
        <x:v>Y</x:v>
      </x:c>
      <x:c r="G2" s="22" t="str">
        <x:v>System</x:v>
      </x:c>
      <x:c r="H2" s="22" t="str">
        <x:v>No</x:v>
      </x:c>
      <x:c r="I2" s="22" t="str"/>
    </x:row>
    <x:row r="3">
      <x:c r="A3" s="22" t="str">
        <x:v>A Basic Identity</x:v>
      </x:c>
      <x:c r="B3" s="22" t="str">
        <x:v>sku</x:v>
      </x:c>
      <x:c r="C3" s="22" t="str">
        <x:v>SKU</x:v>
      </x:c>
      <x:c r="D3" s="22" t="str">
        <x:v>SKU编码</x:v>
      </x:c>
      <x:c r="E3" s="22" t="str">
        <x:v>String</x:v>
      </x:c>
      <x:c r="F3" s="22" t="str">
        <x:v>Y</x:v>
      </x:c>
      <x:c r="G3" s="22" t="str">
        <x:v>Official Product Data</x:v>
      </x:c>
      <x:c r="H3" s="22" t="str">
        <x:v>No</x:v>
      </x:c>
      <x:c r="I3" s="22" t="str"/>
    </x:row>
    <x:row r="4">
      <x:c r="A4" s="22" t="str">
        <x:v>A Basic Identity</x:v>
      </x:c>
      <x:c r="B4" s="22" t="str">
        <x:v>model_number</x:v>
      </x:c>
      <x:c r="C4" s="22" t="str">
        <x:v>Model Number</x:v>
      </x:c>
      <x:c r="D4" s="22" t="str">
        <x:v>型号</x:v>
      </x:c>
      <x:c r="E4" s="22" t="str">
        <x:v>String</x:v>
      </x:c>
      <x:c r="F4" s="22" t="str">
        <x:v>N</x:v>
      </x:c>
      <x:c r="G4" s="22" t="str">
        <x:v>Official Product Data</x:v>
      </x:c>
      <x:c r="H4" s="22" t="str">
        <x:v>No</x:v>
      </x:c>
      <x:c r="I4" s="22" t="str"/>
    </x:row>
    <x:row r="5">
      <x:c r="A5" s="22" t="str">
        <x:v>A Basic Identity</x:v>
      </x:c>
      <x:c r="B5" s="22" t="str">
        <x:v>product_name_cn</x:v>
      </x:c>
      <x:c r="C5" s="22" t="str">
        <x:v>Product Name CN</x:v>
      </x:c>
      <x:c r="D5" s="22" t="str">
        <x:v>中文产品名</x:v>
      </x:c>
      <x:c r="E5" s="22" t="str">
        <x:v>String</x:v>
      </x:c>
      <x:c r="F5" s="22" t="str">
        <x:v>Y</x:v>
      </x:c>
      <x:c r="G5" s="22" t="str">
        <x:v>Official Product Data</x:v>
      </x:c>
      <x:c r="H5" s="22" t="str">
        <x:v>No</x:v>
      </x:c>
      <x:c r="I5" s="22" t="str"/>
    </x:row>
    <x:row r="6">
      <x:c r="A6" s="22" t="str">
        <x:v>A Basic Identity</x:v>
      </x:c>
      <x:c r="B6" s="22" t="str">
        <x:v>product_name_en</x:v>
      </x:c>
      <x:c r="C6" s="22" t="str">
        <x:v>Product Name EN</x:v>
      </x:c>
      <x:c r="D6" s="22" t="str">
        <x:v>英文产品名</x:v>
      </x:c>
      <x:c r="E6" s="22" t="str">
        <x:v>String</x:v>
      </x:c>
      <x:c r="F6" s="22" t="str">
        <x:v>Y</x:v>
      </x:c>
      <x:c r="G6" s="22" t="str">
        <x:v>Official Product Data</x:v>
      </x:c>
      <x:c r="H6" s="22" t="str">
        <x:v>No</x:v>
      </x:c>
      <x:c r="I6" s="22" t="str"/>
    </x:row>
    <x:row r="7">
      <x:c r="A7" s="22" t="str">
        <x:v>A Basic Identity</x:v>
      </x:c>
      <x:c r="B7" s="22" t="str">
        <x:v>short_name</x:v>
      </x:c>
      <x:c r="C7" s="22" t="str">
        <x:v>Short Name</x:v>
      </x:c>
      <x:c r="D7" s="22" t="str">
        <x:v>产品简称</x:v>
      </x:c>
      <x:c r="E7" s="22" t="str">
        <x:v>String</x:v>
      </x:c>
      <x:c r="F7" s="22" t="str">
        <x:v>N</x:v>
      </x:c>
      <x:c r="G7" s="22" t="str">
        <x:v>Official Product Data</x:v>
      </x:c>
      <x:c r="H7" s="22" t="str">
        <x:v>No</x:v>
      </x:c>
      <x:c r="I7" s="22" t="str"/>
    </x:row>
    <x:row r="8">
      <x:c r="A8" s="22" t="str">
        <x:v>A Basic Identity</x:v>
      </x:c>
      <x:c r="B8" s="22" t="str">
        <x:v>series_name</x:v>
      </x:c>
      <x:c r="C8" s="22" t="str">
        <x:v>Series Name</x:v>
      </x:c>
      <x:c r="D8" s="22" t="str">
        <x:v>系列名称</x:v>
      </x:c>
      <x:c r="E8" s="22" t="str">
        <x:v>String</x:v>
      </x:c>
      <x:c r="F8" s="22" t="str">
        <x:v>N</x:v>
      </x:c>
      <x:c r="G8" s="22" t="str">
        <x:v>Official Product Data</x:v>
      </x:c>
      <x:c r="H8" s="22" t="str">
        <x:v>No</x:v>
      </x:c>
      <x:c r="I8" s="22" t="str"/>
    </x:row>
    <x:row r="9">
      <x:c r="A9" s="22" t="str">
        <x:v>A Basic Identity</x:v>
      </x:c>
      <x:c r="B9" s="22" t="str">
        <x:v>product_version</x:v>
      </x:c>
      <x:c r="C9" s="22" t="str">
        <x:v>Product Version</x:v>
      </x:c>
      <x:c r="D9" s="22" t="str">
        <x:v>产品版本</x:v>
      </x:c>
      <x:c r="E9" s="22" t="str">
        <x:v>String</x:v>
      </x:c>
      <x:c r="F9" s="22" t="str">
        <x:v>N</x:v>
      </x:c>
      <x:c r="G9" s="22" t="str">
        <x:v>Official Product Data</x:v>
      </x:c>
      <x:c r="H9" s="22" t="str">
        <x:v>No</x:v>
      </x:c>
      <x:c r="I9" s="22" t="str"/>
    </x:row>
    <x:row r="10">
      <x:c r="A10" s="22" t="str">
        <x:v>A Basic Identity</x:v>
      </x:c>
      <x:c r="B10" s="22" t="str">
        <x:v>product_status</x:v>
      </x:c>
      <x:c r="C10" s="22" t="str">
        <x:v>Product Status</x:v>
      </x:c>
      <x:c r="D10" s="22" t="str">
        <x:v>产品状态</x:v>
      </x:c>
      <x:c r="E10" s="22" t="str">
        <x:v>Enum</x:v>
      </x:c>
      <x:c r="F10" s="22" t="str">
        <x:v>Y</x:v>
      </x:c>
      <x:c r="G10" s="22" t="str">
        <x:v>Product Manager</x:v>
      </x:c>
      <x:c r="H10" s="22" t="str">
        <x:v>No</x:v>
      </x:c>
      <x:c r="I10" s="22" t="str">
        <x:v>ProductStatus</x:v>
      </x:c>
    </x:row>
    <x:row r="11">
      <x:c r="A11" s="22" t="str">
        <x:v>A Basic Identity</x:v>
      </x:c>
      <x:c r="B11" s="22" t="str">
        <x:v>launch_date</x:v>
      </x:c>
      <x:c r="C11" s="22" t="str">
        <x:v>Launch Date</x:v>
      </x:c>
      <x:c r="D11" s="22" t="str">
        <x:v>上市日期</x:v>
      </x:c>
      <x:c r="E11" s="22" t="str">
        <x:v>Date</x:v>
      </x:c>
      <x:c r="F11" s="22" t="str">
        <x:v>N</x:v>
      </x:c>
      <x:c r="G11" s="22" t="str">
        <x:v>Official Product Data</x:v>
      </x:c>
      <x:c r="H11" s="22" t="str">
        <x:v>No</x:v>
      </x:c>
      <x:c r="I11" s="22" t="str"/>
    </x:row>
    <x:row r="12">
      <x:c r="A12" s="22" t="str">
        <x:v>A Basic Identity</x:v>
      </x:c>
      <x:c r="B12" s="22" t="str">
        <x:v>update_date</x:v>
      </x:c>
      <x:c r="C12" s="22" t="str">
        <x:v>Update Date</x:v>
      </x:c>
      <x:c r="D12" s="22" t="str">
        <x:v>最后更新时间</x:v>
      </x:c>
      <x:c r="E12" s="22" t="str">
        <x:v>Date</x:v>
      </x:c>
      <x:c r="F12" s="22" t="str">
        <x:v>N</x:v>
      </x:c>
      <x:c r="G12" s="22" t="str">
        <x:v>System</x:v>
      </x:c>
      <x:c r="H12" s="22" t="str">
        <x:v>No</x:v>
      </x:c>
      <x:c r="I12" s="22" t="str"/>
    </x:row>
    <x:row r="13">
      <x:c r="A13" s="22" t="str">
        <x:v>B Category</x:v>
      </x:c>
      <x:c r="B13" s="22" t="str">
        <x:v>primary_category</x:v>
      </x:c>
      <x:c r="C13" s="22" t="str">
        <x:v>Primary Category</x:v>
      </x:c>
      <x:c r="D13" s="22" t="str">
        <x:v>一级品类</x:v>
      </x:c>
      <x:c r="E13" s="22" t="str">
        <x:v>Enum</x:v>
      </x:c>
      <x:c r="F13" s="22" t="str">
        <x:v>Y</x:v>
      </x:c>
      <x:c r="G13" s="22" t="str">
        <x:v>Product Manager</x:v>
      </x:c>
      <x:c r="H13" s="22" t="str">
        <x:v>No</x:v>
      </x:c>
      <x:c r="I13" s="22" t="str">
        <x:v>PrimaryCategory</x:v>
      </x:c>
    </x:row>
    <x:row r="14">
      <x:c r="A14" s="22" t="str">
        <x:v>B Category</x:v>
      </x:c>
      <x:c r="B14" s="22" t="str">
        <x:v>secondary_category</x:v>
      </x:c>
      <x:c r="C14" s="22" t="str">
        <x:v>Secondary Category</x:v>
      </x:c>
      <x:c r="D14" s="22" t="str">
        <x:v>二级品类</x:v>
      </x:c>
      <x:c r="E14" s="22" t="str">
        <x:v>Enum</x:v>
      </x:c>
      <x:c r="F14" s="22" t="str">
        <x:v>Y</x:v>
      </x:c>
      <x:c r="G14" s="22" t="str">
        <x:v>Product Manager</x:v>
      </x:c>
      <x:c r="H14" s="22" t="str">
        <x:v>AI assist</x:v>
      </x:c>
      <x:c r="I14" s="22" t="str">
        <x:v>SecondaryCategory</x:v>
      </x:c>
    </x:row>
    <x:row r="15">
      <x:c r="A15" s="22" t="str">
        <x:v>B Category</x:v>
      </x:c>
      <x:c r="B15" s="22" t="str">
        <x:v>tertiary_category</x:v>
      </x:c>
      <x:c r="C15" s="22" t="str">
        <x:v>Tertiary Category</x:v>
      </x:c>
      <x:c r="D15" s="22" t="str">
        <x:v>三级品类</x:v>
      </x:c>
      <x:c r="E15" s="22" t="str">
        <x:v>String</x:v>
      </x:c>
      <x:c r="F15" s="22" t="str">
        <x:v>N</x:v>
      </x:c>
      <x:c r="G15" s="22" t="str">
        <x:v>Product Manager</x:v>
      </x:c>
      <x:c r="H15" s="22" t="str">
        <x:v>AI assist</x:v>
      </x:c>
      <x:c r="I15" s="22" t="str"/>
    </x:row>
    <x:row r="16">
      <x:c r="A16" s="22" t="str">
        <x:v>B Category</x:v>
      </x:c>
      <x:c r="B16" s="22" t="str">
        <x:v>functional_category</x:v>
      </x:c>
      <x:c r="C16" s="22" t="str">
        <x:v>Functional Category</x:v>
      </x:c>
      <x:c r="D16" s="22" t="str">
        <x:v>功能分类</x:v>
      </x:c>
      <x:c r="E16" s="22" t="str">
        <x:v>Multi-select</x:v>
      </x:c>
      <x:c r="F16" s="22" t="str">
        <x:v>N</x:v>
      </x:c>
      <x:c r="G16" s="22" t="str">
        <x:v>Product Manager</x:v>
      </x:c>
      <x:c r="H16" s="22" t="str">
        <x:v>AI assist</x:v>
      </x:c>
      <x:c r="I16" s="22" t="str"/>
    </x:row>
    <x:row r="17">
      <x:c r="A17" s="22" t="str">
        <x:v>B Category</x:v>
      </x:c>
      <x:c r="B17" s="22" t="str">
        <x:v>usage_category</x:v>
      </x:c>
      <x:c r="C17" s="22" t="str">
        <x:v>Usage Category</x:v>
      </x:c>
      <x:c r="D17" s="22" t="str">
        <x:v>使用分类</x:v>
      </x:c>
      <x:c r="E17" s="22" t="str">
        <x:v>Multi-select</x:v>
      </x:c>
      <x:c r="F17" s="22" t="str">
        <x:v>N</x:v>
      </x:c>
      <x:c r="G17" s="22" t="str">
        <x:v>Product Manager</x:v>
      </x:c>
      <x:c r="H17" s="22" t="str">
        <x:v>AI assist</x:v>
      </x:c>
      <x:c r="I17" s="22" t="str"/>
    </x:row>
    <x:row r="18">
      <x:c r="A18" s="22" t="str">
        <x:v>B Category</x:v>
      </x:c>
      <x:c r="B18" s="22" t="str">
        <x:v>scenario_category</x:v>
      </x:c>
      <x:c r="C18" s="22" t="str">
        <x:v>Scenario Category</x:v>
      </x:c>
      <x:c r="D18" s="22" t="str">
        <x:v>场景分类</x:v>
      </x:c>
      <x:c r="E18" s="22" t="str">
        <x:v>Multi-select</x:v>
      </x:c>
      <x:c r="F18" s="22" t="str">
        <x:v>N</x:v>
      </x:c>
      <x:c r="G18" s="22" t="str">
        <x:v>Product Manager</x:v>
      </x:c>
      <x:c r="H18" s="22" t="str">
        <x:v>AI assist</x:v>
      </x:c>
      <x:c r="I18" s="22" t="str"/>
    </x:row>
    <x:row r="19">
      <x:c r="A19" s="22" t="str">
        <x:v>C Description</x:v>
      </x:c>
      <x:c r="B19" s="22" t="str">
        <x:v>description_cn</x:v>
      </x:c>
      <x:c r="C19" s="22" t="str">
        <x:v>Description CN</x:v>
      </x:c>
      <x:c r="D19" s="22" t="str">
        <x:v>中文产品描述</x:v>
      </x:c>
      <x:c r="E19" s="22" t="str">
        <x:v>Long Text</x:v>
      </x:c>
      <x:c r="F19" s="22" t="str">
        <x:v>N</x:v>
      </x:c>
      <x:c r="G19" s="22" t="str">
        <x:v>Product Manager</x:v>
      </x:c>
      <x:c r="H19" s="22" t="str">
        <x:v>AI polish</x:v>
      </x:c>
      <x:c r="I19" s="22" t="str"/>
    </x:row>
    <x:row r="20">
      <x:c r="A20" s="22" t="str">
        <x:v>C Description</x:v>
      </x:c>
      <x:c r="B20" s="22" t="str">
        <x:v>description_en</x:v>
      </x:c>
      <x:c r="C20" s="22" t="str">
        <x:v>Description EN</x:v>
      </x:c>
      <x:c r="D20" s="22" t="str">
        <x:v>英文产品描述</x:v>
      </x:c>
      <x:c r="E20" s="22" t="str">
        <x:v>Long Text</x:v>
      </x:c>
      <x:c r="F20" s="22" t="str">
        <x:v>N</x:v>
      </x:c>
      <x:c r="G20" s="22" t="str">
        <x:v>Product Manager</x:v>
      </x:c>
      <x:c r="H20" s="22" t="str">
        <x:v>AI polish</x:v>
      </x:c>
      <x:c r="I20" s="22" t="str"/>
    </x:row>
    <x:row r="21">
      <x:c r="A21" s="22" t="str">
        <x:v>C Description</x:v>
      </x:c>
      <x:c r="B21" s="22" t="str">
        <x:v>short_description_cn</x:v>
      </x:c>
      <x:c r="C21" s="22" t="str">
        <x:v>Short Description CN</x:v>
      </x:c>
      <x:c r="D21" s="22" t="str">
        <x:v>中文短描述</x:v>
      </x:c>
      <x:c r="E21" s="22" t="str">
        <x:v>Long Text</x:v>
      </x:c>
      <x:c r="F21" s="22" t="str">
        <x:v>N</x:v>
      </x:c>
      <x:c r="G21" s="22" t="str">
        <x:v>Product Manager</x:v>
      </x:c>
      <x:c r="H21" s="22" t="str">
        <x:v>AI polish</x:v>
      </x:c>
      <x:c r="I21" s="22" t="str"/>
    </x:row>
    <x:row r="22">
      <x:c r="A22" s="22" t="str">
        <x:v>C Description</x:v>
      </x:c>
      <x:c r="B22" s="22" t="str">
        <x:v>short_description_en</x:v>
      </x:c>
      <x:c r="C22" s="22" t="str">
        <x:v>Short Description EN</x:v>
      </x:c>
      <x:c r="D22" s="22" t="str">
        <x:v>英文短描述</x:v>
      </x:c>
      <x:c r="E22" s="22" t="str">
        <x:v>Long Text</x:v>
      </x:c>
      <x:c r="F22" s="22" t="str">
        <x:v>N</x:v>
      </x:c>
      <x:c r="G22" s="22" t="str">
        <x:v>Product Manager</x:v>
      </x:c>
      <x:c r="H22" s="22" t="str">
        <x:v>AI polish</x:v>
      </x:c>
      <x:c r="I22" s="22" t="str"/>
    </x:row>
    <x:row r="23">
      <x:c r="A23" s="22" t="str">
        <x:v>C Description</x:v>
      </x:c>
      <x:c r="B23" s="22" t="str">
        <x:v>product_story_cn</x:v>
      </x:c>
      <x:c r="C23" s="22" t="str">
        <x:v>Product Story CN</x:v>
      </x:c>
      <x:c r="D23" s="22" t="str">
        <x:v>中文产品故事</x:v>
      </x:c>
      <x:c r="E23" s="22" t="str">
        <x:v>Long Text</x:v>
      </x:c>
      <x:c r="F23" s="22" t="str">
        <x:v>N</x:v>
      </x:c>
      <x:c r="G23" s="22" t="str">
        <x:v>Brand/Product</x:v>
      </x:c>
      <x:c r="H23" s="22" t="str">
        <x:v>AI polish</x:v>
      </x:c>
      <x:c r="I23" s="22" t="str"/>
    </x:row>
    <x:row r="24">
      <x:c r="A24" s="22" t="str">
        <x:v>C Description</x:v>
      </x:c>
      <x:c r="B24" s="22" t="str">
        <x:v>product_story_en</x:v>
      </x:c>
      <x:c r="C24" s="22" t="str">
        <x:v>Product Story EN</x:v>
      </x:c>
      <x:c r="D24" s="22" t="str">
        <x:v>英文产品故事</x:v>
      </x:c>
      <x:c r="E24" s="22" t="str">
        <x:v>Long Text</x:v>
      </x:c>
      <x:c r="F24" s="22" t="str">
        <x:v>N</x:v>
      </x:c>
      <x:c r="G24" s="22" t="str">
        <x:v>Brand/Product</x:v>
      </x:c>
      <x:c r="H24" s="22" t="str">
        <x:v>AI polish</x:v>
      </x:c>
      <x:c r="I24" s="22" t="str"/>
    </x:row>
    <x:row r="25">
      <x:c r="A25" s="22" t="str">
        <x:v>C Description</x:v>
      </x:c>
      <x:c r="B25" s="22" t="str">
        <x:v>key_selling_point_cn</x:v>
      </x:c>
      <x:c r="C25" s="22" t="str">
        <x:v>Key Selling Points CN</x:v>
      </x:c>
      <x:c r="D25" s="22" t="str">
        <x:v>中文核心卖点</x:v>
      </x:c>
      <x:c r="E25" s="22" t="str">
        <x:v>Multi-line</x:v>
      </x:c>
      <x:c r="F25" s="22" t="str">
        <x:v>Y</x:v>
      </x:c>
      <x:c r="G25" s="22" t="str">
        <x:v>Product Manager</x:v>
      </x:c>
      <x:c r="H25" s="22" t="str">
        <x:v>AI polish</x:v>
      </x:c>
      <x:c r="I25" s="22" t="str"/>
    </x:row>
    <x:row r="26">
      <x:c r="A26" s="22" t="str">
        <x:v>C Description</x:v>
      </x:c>
      <x:c r="B26" s="22" t="str">
        <x:v>key_selling_point_en</x:v>
      </x:c>
      <x:c r="C26" s="22" t="str">
        <x:v>Key Selling Points EN</x:v>
      </x:c>
      <x:c r="D26" s="22" t="str">
        <x:v>英文核心卖点</x:v>
      </x:c>
      <x:c r="E26" s="22" t="str">
        <x:v>Multi-line</x:v>
      </x:c>
      <x:c r="F26" s="22" t="str">
        <x:v>Y</x:v>
      </x:c>
      <x:c r="G26" s="22" t="str">
        <x:v>Product Manager</x:v>
      </x:c>
      <x:c r="H26" s="22" t="str">
        <x:v>AI polish</x:v>
      </x:c>
      <x:c r="I26" s="22" t="str"/>
    </x:row>
    <x:row r="27">
      <x:c r="A27" s="22" t="str">
        <x:v>C Description</x:v>
      </x:c>
      <x:c r="B27" s="22" t="str">
        <x:v>product_highlights</x:v>
      </x:c>
      <x:c r="C27" s="22" t="str">
        <x:v>Product Highlights</x:v>
      </x:c>
      <x:c r="D27" s="22" t="str">
        <x:v>产品亮点</x:v>
      </x:c>
      <x:c r="E27" s="22" t="str">
        <x:v>Multi-line</x:v>
      </x:c>
      <x:c r="F27" s="22" t="str">
        <x:v>N</x:v>
      </x:c>
      <x:c r="G27" s="22" t="str">
        <x:v>Product Manager</x:v>
      </x:c>
      <x:c r="H27" s="22" t="str">
        <x:v>AI assist</x:v>
      </x:c>
      <x:c r="I27" s="22" t="str"/>
    </x:row>
    <x:row r="28">
      <x:c r="A28" s="22" t="str">
        <x:v>C Description</x:v>
      </x:c>
      <x:c r="B28" s="22" t="str">
        <x:v>differentiation</x:v>
      </x:c>
      <x:c r="C28" s="22" t="str">
        <x:v>Differentiation</x:v>
      </x:c>
      <x:c r="D28" s="22" t="str">
        <x:v>差异化优势</x:v>
      </x:c>
      <x:c r="E28" s="22" t="str">
        <x:v>Long Text</x:v>
      </x:c>
      <x:c r="F28" s="22" t="str">
        <x:v>Y</x:v>
      </x:c>
      <x:c r="G28" s="22" t="str">
        <x:v>Product Manager</x:v>
      </x:c>
      <x:c r="H28" s="22" t="str">
        <x:v>AI assist</x:v>
      </x:c>
      <x:c r="I28" s="22" t="str"/>
    </x:row>
    <x:row r="29">
      <x:c r="A29" s="22" t="str">
        <x:v>D Function</x:v>
      </x:c>
      <x:c r="B29" s="22" t="str">
        <x:v>primary_function</x:v>
      </x:c>
      <x:c r="C29" s="22" t="str">
        <x:v>Primary Function</x:v>
      </x:c>
      <x:c r="D29" s="22" t="str">
        <x:v>核心功能</x:v>
      </x:c>
      <x:c r="E29" s="22" t="str">
        <x:v>String</x:v>
      </x:c>
      <x:c r="F29" s="22" t="str">
        <x:v>Y</x:v>
      </x:c>
      <x:c r="G29" s="22" t="str">
        <x:v>Product Manager</x:v>
      </x:c>
      <x:c r="H29" s="22" t="str">
        <x:v>AI assist</x:v>
      </x:c>
      <x:c r="I29" s="22" t="str"/>
    </x:row>
    <x:row r="30">
      <x:c r="A30" s="22" t="str">
        <x:v>D Function</x:v>
      </x:c>
      <x:c r="B30" s="22" t="str">
        <x:v>secondary_functions</x:v>
      </x:c>
      <x:c r="C30" s="22" t="str">
        <x:v>Secondary Functions</x:v>
      </x:c>
      <x:c r="D30" s="22" t="str">
        <x:v>次要功能</x:v>
      </x:c>
      <x:c r="E30" s="22" t="str">
        <x:v>Multi-select</x:v>
      </x:c>
      <x:c r="F30" s="22" t="str">
        <x:v>N</x:v>
      </x:c>
      <x:c r="G30" s="22" t="str">
        <x:v>Product Manager</x:v>
      </x:c>
      <x:c r="H30" s="22" t="str">
        <x:v>AI assist</x:v>
      </x:c>
      <x:c r="I30" s="22" t="str"/>
    </x:row>
    <x:row r="31">
      <x:c r="A31" s="22" t="str">
        <x:v>D Function</x:v>
      </x:c>
      <x:c r="B31" s="22" t="str">
        <x:v>vibration</x:v>
      </x:c>
      <x:c r="C31" s="22" t="str">
        <x:v>Vibration</x:v>
      </x:c>
      <x:c r="D31" s="22" t="str">
        <x:v>震动</x:v>
      </x:c>
      <x:c r="E31" s="22" t="str">
        <x:v>Yes/No</x:v>
      </x:c>
      <x:c r="F31" s="22" t="str">
        <x:v>N</x:v>
      </x:c>
      <x:c r="G31" s="22" t="str">
        <x:v>Official Product Data</x:v>
      </x:c>
      <x:c r="H31" s="22" t="str">
        <x:v>AI assist</x:v>
      </x:c>
      <x:c r="I31" s="22" t="str">
        <x:v>YesNo</x:v>
      </x:c>
    </x:row>
    <x:row r="32">
      <x:c r="A32" s="22" t="str">
        <x:v>D Function</x:v>
      </x:c>
      <x:c r="B32" s="22" t="str">
        <x:v>suction</x:v>
      </x:c>
      <x:c r="C32" s="22" t="str">
        <x:v>Suction</x:v>
      </x:c>
      <x:c r="D32" s="22" t="str">
        <x:v>吸吮</x:v>
      </x:c>
      <x:c r="E32" s="22" t="str">
        <x:v>Yes/No</x:v>
      </x:c>
      <x:c r="F32" s="22" t="str">
        <x:v>N</x:v>
      </x:c>
      <x:c r="G32" s="22" t="str">
        <x:v>Official Product Data</x:v>
      </x:c>
      <x:c r="H32" s="22" t="str">
        <x:v>AI assist</x:v>
      </x:c>
      <x:c r="I32" s="22" t="str">
        <x:v>YesNo</x:v>
      </x:c>
    </x:row>
    <x:row r="33">
      <x:c r="A33" s="22" t="str">
        <x:v>D Function</x:v>
      </x:c>
      <x:c r="B33" s="22" t="str">
        <x:v>rotation</x:v>
      </x:c>
      <x:c r="C33" s="22" t="str">
        <x:v>Rotation</x:v>
      </x:c>
      <x:c r="D33" s="22" t="str">
        <x:v>旋转</x:v>
      </x:c>
      <x:c r="E33" s="22" t="str">
        <x:v>Yes/No</x:v>
      </x:c>
      <x:c r="F33" s="22" t="str">
        <x:v>N</x:v>
      </x:c>
      <x:c r="G33" s="22" t="str">
        <x:v>Official Product Data</x:v>
      </x:c>
      <x:c r="H33" s="22" t="str">
        <x:v>AI assist</x:v>
      </x:c>
      <x:c r="I33" s="22" t="str">
        <x:v>YesNo</x:v>
      </x:c>
    </x:row>
    <x:row r="34">
      <x:c r="A34" s="22" t="str">
        <x:v>D Function</x:v>
      </x:c>
      <x:c r="B34" s="22" t="str">
        <x:v>heating</x:v>
      </x:c>
      <x:c r="C34" s="22" t="str">
        <x:v>Heating</x:v>
      </x:c>
      <x:c r="D34" s="22" t="str">
        <x:v>加热</x:v>
      </x:c>
      <x:c r="E34" s="22" t="str">
        <x:v>Yes/No</x:v>
      </x:c>
      <x:c r="F34" s="22" t="str">
        <x:v>N</x:v>
      </x:c>
      <x:c r="G34" s="22" t="str">
        <x:v>Official Product Data</x:v>
      </x:c>
      <x:c r="H34" s="22" t="str">
        <x:v>AI assist</x:v>
      </x:c>
      <x:c r="I34" s="22" t="str">
        <x:v>YesNo</x:v>
      </x:c>
    </x:row>
    <x:row r="35">
      <x:c r="A35" s="22" t="str">
        <x:v>D Function</x:v>
      </x:c>
      <x:c r="B35" s="22" t="str">
        <x:v>cooling</x:v>
      </x:c>
      <x:c r="C35" s="22" t="str">
        <x:v>Cooling</x:v>
      </x:c>
      <x:c r="D35" s="22" t="str">
        <x:v>冷感</x:v>
      </x:c>
      <x:c r="E35" s="22" t="str">
        <x:v>Yes/No</x:v>
      </x:c>
      <x:c r="F35" s="22" t="str">
        <x:v>N</x:v>
      </x:c>
      <x:c r="G35" s="22" t="str">
        <x:v>Official Product Data</x:v>
      </x:c>
      <x:c r="H35" s="22" t="str">
        <x:v>AI assist</x:v>
      </x:c>
      <x:c r="I35" s="22" t="str">
        <x:v>YesNo</x:v>
      </x:c>
    </x:row>
    <x:row r="36">
      <x:c r="A36" s="22" t="str">
        <x:v>D Function</x:v>
      </x:c>
      <x:c r="B36" s="22" t="str">
        <x:v>pressure</x:v>
      </x:c>
      <x:c r="C36" s="22" t="str">
        <x:v>Pressure</x:v>
      </x:c>
      <x:c r="D36" s="22" t="str">
        <x:v>压力</x:v>
      </x:c>
      <x:c r="E36" s="22" t="str">
        <x:v>Yes/No</x:v>
      </x:c>
      <x:c r="F36" s="22" t="str">
        <x:v>N</x:v>
      </x:c>
      <x:c r="G36" s="22" t="str">
        <x:v>Official Product Data</x:v>
      </x:c>
      <x:c r="H36" s="22" t="str">
        <x:v>AI assist</x:v>
      </x:c>
      <x:c r="I36" s="22" t="str">
        <x:v>YesNo</x:v>
      </x:c>
    </x:row>
    <x:row r="37">
      <x:c r="A37" s="22" t="str">
        <x:v>D Function</x:v>
      </x:c>
      <x:c r="B37" s="22" t="str">
        <x:v>pulsation</x:v>
      </x:c>
      <x:c r="C37" s="22" t="str">
        <x:v>Pulsation</x:v>
      </x:c>
      <x:c r="D37" s="22" t="str">
        <x:v>脉冲</x:v>
      </x:c>
      <x:c r="E37" s="22" t="str">
        <x:v>Yes/No</x:v>
      </x:c>
      <x:c r="F37" s="22" t="str">
        <x:v>N</x:v>
      </x:c>
      <x:c r="G37" s="22" t="str">
        <x:v>Official Product Data</x:v>
      </x:c>
      <x:c r="H37" s="22" t="str">
        <x:v>AI assist</x:v>
      </x:c>
      <x:c r="I37" s="22" t="str">
        <x:v>YesNo</x:v>
      </x:c>
    </x:row>
    <x:row r="38">
      <x:c r="A38" s="22" t="str">
        <x:v>D Function</x:v>
      </x:c>
      <x:c r="B38" s="22" t="str">
        <x:v>massage</x:v>
      </x:c>
      <x:c r="C38" s="22" t="str">
        <x:v>Massage</x:v>
      </x:c>
      <x:c r="D38" s="22" t="str">
        <x:v>按摩</x:v>
      </x:c>
      <x:c r="E38" s="22" t="str">
        <x:v>Yes/No</x:v>
      </x:c>
      <x:c r="F38" s="22" t="str">
        <x:v>N</x:v>
      </x:c>
      <x:c r="G38" s="22" t="str">
        <x:v>Official Product Data</x:v>
      </x:c>
      <x:c r="H38" s="22" t="str">
        <x:v>AI assist</x:v>
      </x:c>
      <x:c r="I38" s="22" t="str">
        <x:v>YesNo</x:v>
      </x:c>
    </x:row>
    <x:row r="39">
      <x:c r="A39" s="22" t="str">
        <x:v>D Function</x:v>
      </x:c>
      <x:c r="B39" s="22" t="str">
        <x:v>movement</x:v>
      </x:c>
      <x:c r="C39" s="22" t="str">
        <x:v>Movement</x:v>
      </x:c>
      <x:c r="D39" s="22" t="str">
        <x:v>运动方式</x:v>
      </x:c>
      <x:c r="E39" s="22" t="str">
        <x:v>String</x:v>
      </x:c>
      <x:c r="F39" s="22" t="str">
        <x:v>N</x:v>
      </x:c>
      <x:c r="G39" s="22" t="str">
        <x:v>Official Product Data</x:v>
      </x:c>
      <x:c r="H39" s="22" t="str">
        <x:v>AI assist</x:v>
      </x:c>
      <x:c r="I39" s="22" t="str"/>
    </x:row>
    <x:row r="40">
      <x:c r="A40" s="22" t="str">
        <x:v>D Function</x:v>
      </x:c>
      <x:c r="B40" s="22" t="str">
        <x:v>remote_control</x:v>
      </x:c>
      <x:c r="C40" s="22" t="str">
        <x:v>Remote Control</x:v>
      </x:c>
      <x:c r="D40" s="22" t="str">
        <x:v>远程控制</x:v>
      </x:c>
      <x:c r="E40" s="22" t="str">
        <x:v>Yes/No</x:v>
      </x:c>
      <x:c r="F40" s="22" t="str">
        <x:v>N</x:v>
      </x:c>
      <x:c r="G40" s="22" t="str">
        <x:v>Official Product Data</x:v>
      </x:c>
      <x:c r="H40" s="22" t="str">
        <x:v>AI assist</x:v>
      </x:c>
      <x:c r="I40" s="22" t="str">
        <x:v>YesNo</x:v>
      </x:c>
    </x:row>
    <x:row r="41">
      <x:c r="A41" s="22" t="str">
        <x:v>D Function</x:v>
      </x:c>
      <x:c r="B41" s="22" t="str">
        <x:v>app_control</x:v>
      </x:c>
      <x:c r="C41" s="22" t="str">
        <x:v>App Control</x:v>
      </x:c>
      <x:c r="D41" s="22" t="str">
        <x:v>APP控制</x:v>
      </x:c>
      <x:c r="E41" s="22" t="str">
        <x:v>Yes/No</x:v>
      </x:c>
      <x:c r="F41" s="22" t="str">
        <x:v>N</x:v>
      </x:c>
      <x:c r="G41" s="22" t="str">
        <x:v>Official Product Data</x:v>
      </x:c>
      <x:c r="H41" s="22" t="str">
        <x:v>AI assist</x:v>
      </x:c>
      <x:c r="I41" s="22" t="str">
        <x:v>YesNo</x:v>
      </x:c>
    </x:row>
    <x:row r="42">
      <x:c r="A42" s="22" t="str">
        <x:v>D Function</x:v>
      </x:c>
      <x:c r="B42" s="22" t="str">
        <x:v>smart_control</x:v>
      </x:c>
      <x:c r="C42" s="22" t="str">
        <x:v>Smart Control</x:v>
      </x:c>
      <x:c r="D42" s="22" t="str">
        <x:v>智能控制</x:v>
      </x:c>
      <x:c r="E42" s="22" t="str">
        <x:v>Yes/No</x:v>
      </x:c>
      <x:c r="F42" s="22" t="str">
        <x:v>N</x:v>
      </x:c>
      <x:c r="G42" s="22" t="str">
        <x:v>Official Product Data</x:v>
      </x:c>
      <x:c r="H42" s="22" t="str">
        <x:v>AI assist</x:v>
      </x:c>
      <x:c r="I42" s="22" t="str">
        <x:v>YesNo</x:v>
      </x:c>
    </x:row>
    <x:row r="43">
      <x:c r="A43" s="22" t="str">
        <x:v>D Function</x:v>
      </x:c>
      <x:c r="B43" s="22" t="str">
        <x:v>multi_function</x:v>
      </x:c>
      <x:c r="C43" s="22" t="str">
        <x:v>Multi-function</x:v>
      </x:c>
      <x:c r="D43" s="22" t="str">
        <x:v>多功能</x:v>
      </x:c>
      <x:c r="E43" s="22" t="str">
        <x:v>Yes/No</x:v>
      </x:c>
      <x:c r="F43" s="22" t="str">
        <x:v>N</x:v>
      </x:c>
      <x:c r="G43" s="22" t="str">
        <x:v>Official Product Data</x:v>
      </x:c>
      <x:c r="H43" s="22" t="str">
        <x:v>AI assist</x:v>
      </x:c>
      <x:c r="I43" s="22" t="str">
        <x:v>YesNo</x:v>
      </x:c>
    </x:row>
    <x:row r="44">
      <x:c r="A44" s="22" t="str">
        <x:v>D Function</x:v>
      </x:c>
      <x:c r="B44" s="22" t="str">
        <x:v>dual_motor</x:v>
      </x:c>
      <x:c r="C44" s="22" t="str">
        <x:v>Dual Motor</x:v>
      </x:c>
      <x:c r="D44" s="22" t="str">
        <x:v>双马达</x:v>
      </x:c>
      <x:c r="E44" s="22" t="str">
        <x:v>Yes/No</x:v>
      </x:c>
      <x:c r="F44" s="22" t="str">
        <x:v>N</x:v>
      </x:c>
      <x:c r="G44" s="22" t="str">
        <x:v>Official Product Data</x:v>
      </x:c>
      <x:c r="H44" s="22" t="str">
        <x:v>AI assist</x:v>
      </x:c>
      <x:c r="I44" s="22" t="str">
        <x:v>YesNo</x:v>
      </x:c>
    </x:row>
    <x:row r="45">
      <x:c r="A45" s="22" t="str">
        <x:v>D Function</x:v>
      </x:c>
      <x:c r="B45" s="22" t="str">
        <x:v>motor_type</x:v>
      </x:c>
      <x:c r="C45" s="22" t="str">
        <x:v>Motor Type</x:v>
      </x:c>
      <x:c r="D45" s="22" t="str">
        <x:v>马达类型</x:v>
      </x:c>
      <x:c r="E45" s="22" t="str">
        <x:v>String</x:v>
      </x:c>
      <x:c r="F45" s="22" t="str">
        <x:v>N</x:v>
      </x:c>
      <x:c r="G45" s="22" t="str">
        <x:v>Official Product Data</x:v>
      </x:c>
      <x:c r="H45" s="22" t="str">
        <x:v>AI assist</x:v>
      </x:c>
      <x:c r="I45" s="22" t="str"/>
    </x:row>
    <x:row r="46">
      <x:c r="A46" s="22" t="str">
        <x:v>D Function</x:v>
      </x:c>
      <x:c r="B46" s="22" t="str">
        <x:v>mode_count</x:v>
      </x:c>
      <x:c r="C46" s="22" t="str">
        <x:v>Mode Count</x:v>
      </x:c>
      <x:c r="D46" s="22" t="str">
        <x:v>模式数量</x:v>
      </x:c>
      <x:c r="E46" s="22" t="str">
        <x:v>Number</x:v>
      </x:c>
      <x:c r="F46" s="22" t="str">
        <x:v>N</x:v>
      </x:c>
      <x:c r="G46" s="22" t="str">
        <x:v>Official Product Data</x:v>
      </x:c>
      <x:c r="H46" s="22" t="str">
        <x:v>No</x:v>
      </x:c>
      <x:c r="I46" s="22" t="str"/>
    </x:row>
    <x:row r="47">
      <x:c r="A47" s="22" t="str">
        <x:v>D Function</x:v>
      </x:c>
      <x:c r="B47" s="22" t="str">
        <x:v>intensity_levels</x:v>
      </x:c>
      <x:c r="C47" s="22" t="str">
        <x:v>Intensity Levels</x:v>
      </x:c>
      <x:c r="D47" s="22" t="str">
        <x:v>强度档位</x:v>
      </x:c>
      <x:c r="E47" s="22" t="str">
        <x:v>Number</x:v>
      </x:c>
      <x:c r="F47" s="22" t="str">
        <x:v>N</x:v>
      </x:c>
      <x:c r="G47" s="22" t="str">
        <x:v>Official Product Data</x:v>
      </x:c>
      <x:c r="H47" s="22" t="str">
        <x:v>No</x:v>
      </x:c>
      <x:c r="I47" s="22" t="str"/>
    </x:row>
    <x:row r="48">
      <x:c r="A48" s="22" t="str">
        <x:v>E Usage</x:v>
      </x:c>
      <x:c r="B48" s="22" t="str">
        <x:v>usage_type</x:v>
      </x:c>
      <x:c r="C48" s="22" t="str">
        <x:v>Usage Type</x:v>
      </x:c>
      <x:c r="D48" s="22" t="str">
        <x:v>使用方式</x:v>
      </x:c>
      <x:c r="E48" s="22" t="str">
        <x:v>Multi-select</x:v>
      </x:c>
      <x:c r="F48" s="22" t="str">
        <x:v>N</x:v>
      </x:c>
      <x:c r="G48" s="22" t="str">
        <x:v>Product Manager</x:v>
      </x:c>
      <x:c r="H48" s="22" t="str">
        <x:v>AI assist</x:v>
      </x:c>
      <x:c r="I48" s="22" t="str"/>
    </x:row>
    <x:row r="49">
      <x:c r="A49" s="22" t="str">
        <x:v>E Usage</x:v>
      </x:c>
      <x:c r="B49" s="22" t="str">
        <x:v>external_use</x:v>
      </x:c>
      <x:c r="C49" s="22" t="str">
        <x:v>External Use</x:v>
      </x:c>
      <x:c r="D49" s="22" t="str">
        <x:v>外部使用</x:v>
      </x:c>
      <x:c r="E49" s="22" t="str">
        <x:v>Yes/No</x:v>
      </x:c>
      <x:c r="F49" s="22" t="str">
        <x:v>N</x:v>
      </x:c>
      <x:c r="G49" s="22" t="str">
        <x:v>Official Product Data</x:v>
      </x:c>
      <x:c r="H49" s="22" t="str">
        <x:v>AI assist</x:v>
      </x:c>
      <x:c r="I49" s="22" t="str">
        <x:v>YesNo</x:v>
      </x:c>
    </x:row>
    <x:row r="50">
      <x:c r="A50" s="22" t="str">
        <x:v>E Usage</x:v>
      </x:c>
      <x:c r="B50" s="22" t="str">
        <x:v>internal_use</x:v>
      </x:c>
      <x:c r="C50" s="22" t="str">
        <x:v>Internal Use</x:v>
      </x:c>
      <x:c r="D50" s="22" t="str">
        <x:v>内部使用</x:v>
      </x:c>
      <x:c r="E50" s="22" t="str">
        <x:v>Yes/No</x:v>
      </x:c>
      <x:c r="F50" s="22" t="str">
        <x:v>N</x:v>
      </x:c>
      <x:c r="G50" s="22" t="str">
        <x:v>Official Product Data</x:v>
      </x:c>
      <x:c r="H50" s="22" t="str">
        <x:v>AI assist</x:v>
      </x:c>
      <x:c r="I50" s="22" t="str">
        <x:v>YesNo</x:v>
      </x:c>
    </x:row>
    <x:row r="51">
      <x:c r="A51" s="22" t="str">
        <x:v>E Usage</x:v>
      </x:c>
      <x:c r="B51" s="22" t="str">
        <x:v>wearable</x:v>
      </x:c>
      <x:c r="C51" s="22" t="str">
        <x:v>Wearable</x:v>
      </x:c>
      <x:c r="D51" s="22" t="str">
        <x:v>穿戴式</x:v>
      </x:c>
      <x:c r="E51" s="22" t="str">
        <x:v>Yes/No</x:v>
      </x:c>
      <x:c r="F51" s="22" t="str">
        <x:v>N</x:v>
      </x:c>
      <x:c r="G51" s="22" t="str">
        <x:v>Official Product Data</x:v>
      </x:c>
      <x:c r="H51" s="22" t="str">
        <x:v>AI assist</x:v>
      </x:c>
      <x:c r="I51" s="22" t="str">
        <x:v>YesNo</x:v>
      </x:c>
    </x:row>
    <x:row r="52">
      <x:c r="A52" s="22" t="str">
        <x:v>E Usage</x:v>
      </x:c>
      <x:c r="B52" s="22" t="str">
        <x:v>hands_free</x:v>
      </x:c>
      <x:c r="C52" s="22" t="str">
        <x:v>Hands Free</x:v>
      </x:c>
      <x:c r="D52" s="22" t="str">
        <x:v>解放双手</x:v>
      </x:c>
      <x:c r="E52" s="22" t="str">
        <x:v>Yes/No</x:v>
      </x:c>
      <x:c r="F52" s="22" t="str">
        <x:v>N</x:v>
      </x:c>
      <x:c r="G52" s="22" t="str">
        <x:v>Official Product Data</x:v>
      </x:c>
      <x:c r="H52" s="22" t="str">
        <x:v>AI assist</x:v>
      </x:c>
      <x:c r="I52" s="22" t="str">
        <x:v>YesNo</x:v>
      </x:c>
    </x:row>
    <x:row r="53">
      <x:c r="A53" s="22" t="str">
        <x:v>E Usage</x:v>
      </x:c>
      <x:c r="B53" s="22" t="str">
        <x:v>solo_use</x:v>
      </x:c>
      <x:c r="C53" s="22" t="str">
        <x:v>Solo Use</x:v>
      </x:c>
      <x:c r="D53" s="22" t="str">
        <x:v>单人使用</x:v>
      </x:c>
      <x:c r="E53" s="22" t="str">
        <x:v>Yes/No</x:v>
      </x:c>
      <x:c r="F53" s="22" t="str">
        <x:v>N</x:v>
      </x:c>
      <x:c r="G53" s="22" t="str">
        <x:v>Product Manager</x:v>
      </x:c>
      <x:c r="H53" s="22" t="str">
        <x:v>AI assist</x:v>
      </x:c>
      <x:c r="I53" s="22" t="str">
        <x:v>YesNo</x:v>
      </x:c>
    </x:row>
    <x:row r="54">
      <x:c r="A54" s="22" t="str">
        <x:v>E Usage</x:v>
      </x:c>
      <x:c r="B54" s="22" t="str">
        <x:v>couples_use</x:v>
      </x:c>
      <x:c r="C54" s="22" t="str">
        <x:v>Couples Use</x:v>
      </x:c>
      <x:c r="D54" s="22" t="str">
        <x:v>夫妻使用</x:v>
      </x:c>
      <x:c r="E54" s="22" t="str">
        <x:v>Yes/No</x:v>
      </x:c>
      <x:c r="F54" s="22" t="str">
        <x:v>N</x:v>
      </x:c>
      <x:c r="G54" s="22" t="str">
        <x:v>Product Manager</x:v>
      </x:c>
      <x:c r="H54" s="22" t="str">
        <x:v>AI assist</x:v>
      </x:c>
      <x:c r="I54" s="22" t="str">
        <x:v>YesNo</x:v>
      </x:c>
    </x:row>
    <x:row r="55">
      <x:c r="A55" s="22" t="str">
        <x:v>E Usage</x:v>
      </x:c>
      <x:c r="B55" s="22" t="str">
        <x:v>beginner_friendly</x:v>
      </x:c>
      <x:c r="C55" s="22" t="str">
        <x:v>Beginner Friendly</x:v>
      </x:c>
      <x:c r="D55" s="22" t="str">
        <x:v>新手友好</x:v>
      </x:c>
      <x:c r="E55" s="22" t="str">
        <x:v>Yes/No</x:v>
      </x:c>
      <x:c r="F55" s="22" t="str">
        <x:v>N</x:v>
      </x:c>
      <x:c r="G55" s="22" t="str">
        <x:v>Product Manager</x:v>
      </x:c>
      <x:c r="H55" s="22" t="str">
        <x:v>AI assist</x:v>
      </x:c>
      <x:c r="I55" s="22" t="str">
        <x:v>YesNo</x:v>
      </x:c>
    </x:row>
    <x:row r="56">
      <x:c r="A56" s="22" t="str">
        <x:v>E Usage</x:v>
      </x:c>
      <x:c r="B56" s="22" t="str">
        <x:v>travel_friendly</x:v>
      </x:c>
      <x:c r="C56" s="22" t="str">
        <x:v>Travel Friendly</x:v>
      </x:c>
      <x:c r="D56" s="22" t="str">
        <x:v>旅行友好</x:v>
      </x:c>
      <x:c r="E56" s="22" t="str">
        <x:v>Yes/No</x:v>
      </x:c>
      <x:c r="F56" s="22" t="str">
        <x:v>N</x:v>
      </x:c>
      <x:c r="G56" s="22" t="str">
        <x:v>Product Manager</x:v>
      </x:c>
      <x:c r="H56" s="22" t="str">
        <x:v>AI assist</x:v>
      </x:c>
      <x:c r="I56" s="22" t="str">
        <x:v>YesNo</x:v>
      </x:c>
    </x:row>
    <x:row r="57">
      <x:c r="A57" s="22" t="str">
        <x:v>E Usage</x:v>
      </x:c>
      <x:c r="B57" s="22" t="str">
        <x:v>portable</x:v>
      </x:c>
      <x:c r="C57" s="22" t="str">
        <x:v>Portable</x:v>
      </x:c>
      <x:c r="D57" s="22" t="str">
        <x:v>便携</x:v>
      </x:c>
      <x:c r="E57" s="22" t="str">
        <x:v>Yes/No</x:v>
      </x:c>
      <x:c r="F57" s="22" t="str">
        <x:v>N</x:v>
      </x:c>
      <x:c r="G57" s="22" t="str">
        <x:v>Product Manager</x:v>
      </x:c>
      <x:c r="H57" s="22" t="str">
        <x:v>AI assist</x:v>
      </x:c>
      <x:c r="I57" s="22" t="str">
        <x:v>YesNo</x:v>
      </x:c>
    </x:row>
    <x:row r="58">
      <x:c r="A58" s="22" t="str">
        <x:v>E Usage</x:v>
      </x:c>
      <x:c r="B58" s="22" t="str">
        <x:v>discreet</x:v>
      </x:c>
      <x:c r="C58" s="22" t="str">
        <x:v>Discreet</x:v>
      </x:c>
      <x:c r="D58" s="22" t="str">
        <x:v>隐私友好</x:v>
      </x:c>
      <x:c r="E58" s="22" t="str">
        <x:v>Yes/No</x:v>
      </x:c>
      <x:c r="F58" s="22" t="str">
        <x:v>N</x:v>
      </x:c>
      <x:c r="G58" s="22" t="str">
        <x:v>Product Manager</x:v>
      </x:c>
      <x:c r="H58" s="22" t="str">
        <x:v>AI assist</x:v>
      </x:c>
      <x:c r="I58" s="22" t="str">
        <x:v>YesNo</x:v>
      </x:c>
    </x:row>
    <x:row r="59">
      <x:c r="A59" s="22" t="str">
        <x:v>E Usage</x:v>
      </x:c>
      <x:c r="B59" s="22" t="str">
        <x:v>easy_to_clean</x:v>
      </x:c>
      <x:c r="C59" s="22" t="str">
        <x:v>Easy to Clean</x:v>
      </x:c>
      <x:c r="D59" s="22" t="str">
        <x:v>易清洁</x:v>
      </x:c>
      <x:c r="E59" s="22" t="str">
        <x:v>Yes/No</x:v>
      </x:c>
      <x:c r="F59" s="22" t="str">
        <x:v>N</x:v>
      </x:c>
      <x:c r="G59" s="22" t="str">
        <x:v>Product Manager</x:v>
      </x:c>
      <x:c r="H59" s="22" t="str">
        <x:v>AI assist</x:v>
      </x:c>
      <x:c r="I59" s="22" t="str">
        <x:v>YesNo</x:v>
      </x:c>
    </x:row>
    <x:row r="60">
      <x:c r="A60" s="22" t="str">
        <x:v>E Usage</x:v>
      </x:c>
      <x:c r="B60" s="22" t="str">
        <x:v>rechargeable</x:v>
      </x:c>
      <x:c r="C60" s="22" t="str">
        <x:v>Rechargeable</x:v>
      </x:c>
      <x:c r="D60" s="22" t="str">
        <x:v>可充电</x:v>
      </x:c>
      <x:c r="E60" s="22" t="str">
        <x:v>Yes/No</x:v>
      </x:c>
      <x:c r="F60" s="22" t="str">
        <x:v>N</x:v>
      </x:c>
      <x:c r="G60" s="22" t="str">
        <x:v>Official Product Data</x:v>
      </x:c>
      <x:c r="H60" s="22" t="str">
        <x:v>AI assist</x:v>
      </x:c>
      <x:c r="I60" s="22" t="str">
        <x:v>YesNo</x:v>
      </x:c>
    </x:row>
    <x:row r="61">
      <x:c r="A61" s="22" t="str">
        <x:v>E Usage</x:v>
      </x:c>
      <x:c r="B61" s="22" t="str">
        <x:v>disposable</x:v>
      </x:c>
      <x:c r="C61" s="22" t="str">
        <x:v>Disposable</x:v>
      </x:c>
      <x:c r="D61" s="22" t="str">
        <x:v>一次性</x:v>
      </x:c>
      <x:c r="E61" s="22" t="str">
        <x:v>Yes/No</x:v>
      </x:c>
      <x:c r="F61" s="22" t="str">
        <x:v>N</x:v>
      </x:c>
      <x:c r="G61" s="22" t="str">
        <x:v>Official Product Data</x:v>
      </x:c>
      <x:c r="H61" s="22" t="str">
        <x:v>AI assist</x:v>
      </x:c>
      <x:c r="I61" s="22" t="str">
        <x:v>YesNo</x:v>
      </x:c>
    </x:row>
    <x:row r="62">
      <x:c r="A62" s="22" t="str">
        <x:v>F Audience</x:v>
      </x:c>
      <x:c r="B62" s="22" t="str">
        <x:v>target_gender</x:v>
      </x:c>
      <x:c r="C62" s="22" t="str">
        <x:v>Target Gender</x:v>
      </x:c>
      <x:c r="D62" s="22" t="str">
        <x:v>目标性别</x:v>
      </x:c>
      <x:c r="E62" s="22" t="str">
        <x:v>Enum</x:v>
      </x:c>
      <x:c r="F62" s="22" t="str">
        <x:v>Y</x:v>
      </x:c>
      <x:c r="G62" s="22" t="str">
        <x:v>Product Manager</x:v>
      </x:c>
      <x:c r="H62" s="22" t="str">
        <x:v>AI assist</x:v>
      </x:c>
      <x:c r="I62" s="22" t="str">
        <x:v>TargetGender</x:v>
      </x:c>
    </x:row>
    <x:row r="63">
      <x:c r="A63" s="22" t="str">
        <x:v>F Audience</x:v>
      </x:c>
      <x:c r="B63" s="22" t="str">
        <x:v>target_age</x:v>
      </x:c>
      <x:c r="C63" s="22" t="str">
        <x:v>Target Age</x:v>
      </x:c>
      <x:c r="D63" s="22" t="str">
        <x:v>目标年龄</x:v>
      </x:c>
      <x:c r="E63" s="22" t="str">
        <x:v>String</x:v>
      </x:c>
      <x:c r="F63" s="22" t="str">
        <x:v>N</x:v>
      </x:c>
      <x:c r="G63" s="22" t="str">
        <x:v>Product Manager</x:v>
      </x:c>
      <x:c r="H63" s="22" t="str">
        <x:v>AI assist</x:v>
      </x:c>
      <x:c r="I63" s="22" t="str"/>
    </x:row>
    <x:row r="64">
      <x:c r="A64" s="22" t="str">
        <x:v>F Audience</x:v>
      </x:c>
      <x:c r="B64" s="22" t="str">
        <x:v>target_segment</x:v>
      </x:c>
      <x:c r="C64" s="22" t="str">
        <x:v>Target Segment</x:v>
      </x:c>
      <x:c r="D64" s="22" t="str">
        <x:v>目标人群</x:v>
      </x:c>
      <x:c r="E64" s="22" t="str">
        <x:v>Multi-select</x:v>
      </x:c>
      <x:c r="F64" s="22" t="str">
        <x:v>Y</x:v>
      </x:c>
      <x:c r="G64" s="22" t="str">
        <x:v>Product Manager</x:v>
      </x:c>
      <x:c r="H64" s="22" t="str">
        <x:v>AI assist</x:v>
      </x:c>
      <x:c r="I64" s="22" t="str"/>
    </x:row>
    <x:row r="65">
      <x:c r="A65" s="22" t="str">
        <x:v>F Audience</x:v>
      </x:c>
      <x:c r="B65" s="22" t="str">
        <x:v>beginner</x:v>
      </x:c>
      <x:c r="C65" s="22" t="str">
        <x:v>Beginner</x:v>
      </x:c>
      <x:c r="D65" s="22" t="str">
        <x:v>新手</x:v>
      </x:c>
      <x:c r="E65" s="22" t="str">
        <x:v>Yes/No</x:v>
      </x:c>
      <x:c r="F65" s="22" t="str">
        <x:v>N</x:v>
      </x:c>
      <x:c r="G65" s="22" t="str">
        <x:v>Product Manager</x:v>
      </x:c>
      <x:c r="H65" s="22" t="str">
        <x:v>AI assist</x:v>
      </x:c>
      <x:c r="I65" s="22" t="str">
        <x:v>YesNo</x:v>
      </x:c>
    </x:row>
    <x:row r="66">
      <x:c r="A66" s="22" t="str">
        <x:v>F Audience</x:v>
      </x:c>
      <x:c r="B66" s="22" t="str">
        <x:v>advanced_user</x:v>
      </x:c>
      <x:c r="C66" s="22" t="str">
        <x:v>Advanced User</x:v>
      </x:c>
      <x:c r="D66" s="22" t="str">
        <x:v>进阶用户</x:v>
      </x:c>
      <x:c r="E66" s="22" t="str">
        <x:v>Yes/No</x:v>
      </x:c>
      <x:c r="F66" s="22" t="str">
        <x:v>N</x:v>
      </x:c>
      <x:c r="G66" s="22" t="str">
        <x:v>Product Manager</x:v>
      </x:c>
      <x:c r="H66" s="22" t="str">
        <x:v>AI assist</x:v>
      </x:c>
      <x:c r="I66" s="22" t="str">
        <x:v>YesNo</x:v>
      </x:c>
    </x:row>
    <x:row r="67">
      <x:c r="A67" s="22" t="str">
        <x:v>F Audience</x:v>
      </x:c>
      <x:c r="B67" s="22" t="str">
        <x:v>premium_user</x:v>
      </x:c>
      <x:c r="C67" s="22" t="str">
        <x:v>Premium User</x:v>
      </x:c>
      <x:c r="D67" s="22" t="str">
        <x:v>高端用户</x:v>
      </x:c>
      <x:c r="E67" s="22" t="str">
        <x:v>Yes/No</x:v>
      </x:c>
      <x:c r="F67" s="22" t="str">
        <x:v>N</x:v>
      </x:c>
      <x:c r="G67" s="22" t="str">
        <x:v>Product Manager</x:v>
      </x:c>
      <x:c r="H67" s="22" t="str">
        <x:v>AI assist</x:v>
      </x:c>
      <x:c r="I67" s="22" t="str">
        <x:v>YesNo</x:v>
      </x:c>
    </x:row>
    <x:row r="68">
      <x:c r="A68" s="22" t="str">
        <x:v>F Audience</x:v>
      </x:c>
      <x:c r="B68" s="22" t="str">
        <x:v>mass_market</x:v>
      </x:c>
      <x:c r="C68" s="22" t="str">
        <x:v>Mass Market</x:v>
      </x:c>
      <x:c r="D68" s="22" t="str">
        <x:v>大众市场</x:v>
      </x:c>
      <x:c r="E68" s="22" t="str">
        <x:v>Yes/No</x:v>
      </x:c>
      <x:c r="F68" s="22" t="str">
        <x:v>N</x:v>
      </x:c>
      <x:c r="G68" s="22" t="str">
        <x:v>Product Manager</x:v>
      </x:c>
      <x:c r="H68" s="22" t="str">
        <x:v>AI assist</x:v>
      </x:c>
      <x:c r="I68" s="22" t="str">
        <x:v>YesNo</x:v>
      </x:c>
    </x:row>
    <x:row r="69">
      <x:c r="A69" s="22" t="str">
        <x:v>F Audience</x:v>
      </x:c>
      <x:c r="B69" s="22" t="str">
        <x:v>gift_buyer</x:v>
      </x:c>
      <x:c r="C69" s="22" t="str">
        <x:v>Gift Buyer</x:v>
      </x:c>
      <x:c r="D69" s="22" t="str">
        <x:v>礼品购买者</x:v>
      </x:c>
      <x:c r="E69" s="22" t="str">
        <x:v>Yes/No</x:v>
      </x:c>
      <x:c r="F69" s="22" t="str">
        <x:v>N</x:v>
      </x:c>
      <x:c r="G69" s="22" t="str">
        <x:v>Product Manager</x:v>
      </x:c>
      <x:c r="H69" s="22" t="str">
        <x:v>AI assist</x:v>
      </x:c>
      <x:c r="I69" s="22" t="str">
        <x:v>YesNo</x:v>
      </x:c>
    </x:row>
    <x:row r="70">
      <x:c r="A70" s="22" t="str">
        <x:v>F Audience</x:v>
      </x:c>
      <x:c r="B70" s="22" t="str">
        <x:v>couple_user</x:v>
      </x:c>
      <x:c r="C70" s="22" t="str">
        <x:v>Couple User</x:v>
      </x:c>
      <x:c r="D70" s="22" t="str">
        <x:v>夫妻用户</x:v>
      </x:c>
      <x:c r="E70" s="22" t="str">
        <x:v>Yes/No</x:v>
      </x:c>
      <x:c r="F70" s="22" t="str">
        <x:v>N</x:v>
      </x:c>
      <x:c r="G70" s="22" t="str">
        <x:v>Product Manager</x:v>
      </x:c>
      <x:c r="H70" s="22" t="str">
        <x:v>AI assist</x:v>
      </x:c>
      <x:c r="I70" s="22" t="str">
        <x:v>YesNo</x:v>
      </x:c>
    </x:row>
    <x:row r="71">
      <x:c r="A71" s="22" t="str">
        <x:v>F Audience</x:v>
      </x:c>
      <x:c r="B71" s="22" t="str">
        <x:v>wellness_user</x:v>
      </x:c>
      <x:c r="C71" s="22" t="str">
        <x:v>Wellness User</x:v>
      </x:c>
      <x:c r="D71" s="22" t="str">
        <x:v>健康生活方式用户</x:v>
      </x:c>
      <x:c r="E71" s="22" t="str">
        <x:v>Yes/No</x:v>
      </x:c>
      <x:c r="F71" s="22" t="str">
        <x:v>N</x:v>
      </x:c>
      <x:c r="G71" s="22" t="str">
        <x:v>Product Manager</x:v>
      </x:c>
      <x:c r="H71" s="22" t="str">
        <x:v>AI assist</x:v>
      </x:c>
      <x:c r="I71" s="22" t="str">
        <x:v>YesNo</x:v>
      </x:c>
    </x:row>
    <x:row r="72">
      <x:c r="A72" s="22" t="str">
        <x:v>G Design</x:v>
      </x:c>
      <x:c r="B72" s="22" t="str">
        <x:v>design_style</x:v>
      </x:c>
      <x:c r="C72" s="22" t="str">
        <x:v>Design Style</x:v>
      </x:c>
      <x:c r="D72" s="22" t="str">
        <x:v>设计风格</x:v>
      </x:c>
      <x:c r="E72" s="22" t="str">
        <x:v>Multi-select</x:v>
      </x:c>
      <x:c r="F72" s="22" t="str">
        <x:v>Y</x:v>
      </x:c>
      <x:c r="G72" s="22" t="str">
        <x:v>Product Manager</x:v>
      </x:c>
      <x:c r="H72" s="22" t="str">
        <x:v>AI vision</x:v>
      </x:c>
      <x:c r="I72" s="22" t="str">
        <x:v>DesignStyle</x:v>
      </x:c>
    </x:row>
    <x:row r="73">
      <x:c r="A73" s="22" t="str">
        <x:v>G Design</x:v>
      </x:c>
      <x:c r="B73" s="22" t="str">
        <x:v>visual_style</x:v>
      </x:c>
      <x:c r="C73" s="22" t="str">
        <x:v>Visual Style</x:v>
      </x:c>
      <x:c r="D73" s="22" t="str">
        <x:v>视觉风格</x:v>
      </x:c>
      <x:c r="E73" s="22" t="str">
        <x:v>Multi-select</x:v>
      </x:c>
      <x:c r="F73" s="22" t="str">
        <x:v>Y</x:v>
      </x:c>
      <x:c r="G73" s="22" t="str">
        <x:v>Product Manager</x:v>
      </x:c>
      <x:c r="H73" s="22" t="str">
        <x:v>AI vision</x:v>
      </x:c>
      <x:c r="I73" s="22" t="str">
        <x:v>DesignStyle</x:v>
      </x:c>
    </x:row>
    <x:row r="74">
      <x:c r="A74" s="22" t="str">
        <x:v>G Design</x:v>
      </x:c>
      <x:c r="B74" s="22" t="str">
        <x:v>form_language</x:v>
      </x:c>
      <x:c r="C74" s="22" t="str">
        <x:v>Form Language</x:v>
      </x:c>
      <x:c r="D74" s="22" t="str">
        <x:v>造型语言</x:v>
      </x:c>
      <x:c r="E74" s="22" t="str">
        <x:v>String</x:v>
      </x:c>
      <x:c r="F74" s="22" t="str">
        <x:v>N</x:v>
      </x:c>
      <x:c r="G74" s="22" t="str">
        <x:v>Designer</x:v>
      </x:c>
      <x:c r="H74" s="22" t="str">
        <x:v>AI vision</x:v>
      </x:c>
      <x:c r="I74" s="22" t="str"/>
    </x:row>
    <x:row r="75">
      <x:c r="A75" s="22" t="str">
        <x:v>G Design</x:v>
      </x:c>
      <x:c r="B75" s="22" t="str">
        <x:v>color_style</x:v>
      </x:c>
      <x:c r="C75" s="22" t="str">
        <x:v>Color Style</x:v>
      </x:c>
      <x:c r="D75" s="22" t="str">
        <x:v>色彩风格</x:v>
      </x:c>
      <x:c r="E75" s="22" t="str">
        <x:v>String</x:v>
      </x:c>
      <x:c r="F75" s="22" t="str">
        <x:v>N</x:v>
      </x:c>
      <x:c r="G75" s="22" t="str">
        <x:v>Designer</x:v>
      </x:c>
      <x:c r="H75" s="22" t="str">
        <x:v>AI vision</x:v>
      </x:c>
      <x:c r="I75" s="22" t="str"/>
    </x:row>
    <x:row r="76">
      <x:c r="A76" s="22" t="str">
        <x:v>G Design</x:v>
      </x:c>
      <x:c r="B76" s="22" t="str">
        <x:v>packaging_style</x:v>
      </x:c>
      <x:c r="C76" s="22" t="str">
        <x:v>Packaging Style</x:v>
      </x:c>
      <x:c r="D76" s="22" t="str">
        <x:v>包装风格</x:v>
      </x:c>
      <x:c r="E76" s="22" t="str">
        <x:v>Multi-select</x:v>
      </x:c>
      <x:c r="F76" s="22" t="str">
        <x:v>N</x:v>
      </x:c>
      <x:c r="G76" s="22" t="str">
        <x:v>Designer</x:v>
      </x:c>
      <x:c r="H76" s="22" t="str">
        <x:v>AI vision</x:v>
      </x:c>
      <x:c r="I76" s="22" t="str">
        <x:v>DesignStyle</x:v>
      </x:c>
    </x:row>
    <x:row r="77">
      <x:c r="A77" s="22" t="str">
        <x:v>G Design</x:v>
      </x:c>
      <x:c r="B77" s="22" t="str">
        <x:v>design_keywords</x:v>
      </x:c>
      <x:c r="C77" s="22" t="str">
        <x:v>Design Keywords</x:v>
      </x:c>
      <x:c r="D77" s="22" t="str">
        <x:v>设计关键词</x:v>
      </x:c>
      <x:c r="E77" s="22" t="str">
        <x:v>Multi-select</x:v>
      </x:c>
      <x:c r="F77" s="22" t="str">
        <x:v>N</x:v>
      </x:c>
      <x:c r="G77" s="22" t="str">
        <x:v>Designer</x:v>
      </x:c>
      <x:c r="H77" s="22" t="str">
        <x:v>AI vision</x:v>
      </x:c>
      <x:c r="I77" s="22" t="str"/>
    </x:row>
    <x:row r="78">
      <x:c r="A78" s="22" t="str">
        <x:v>G Design</x:v>
      </x:c>
      <x:c r="B78" s="22" t="str">
        <x:v>aesthetic_positioning</x:v>
      </x:c>
      <x:c r="C78" s="22" t="str">
        <x:v>Aesthetic Positioning</x:v>
      </x:c>
      <x:c r="D78" s="22" t="str">
        <x:v>审美定位</x:v>
      </x:c>
      <x:c r="E78" s="22" t="str">
        <x:v>String</x:v>
      </x:c>
      <x:c r="F78" s="22" t="str">
        <x:v>N</x:v>
      </x:c>
      <x:c r="G78" s="22" t="str">
        <x:v>Brand/Designer</x:v>
      </x:c>
      <x:c r="H78" s="22" t="str">
        <x:v>AI assist</x:v>
      </x:c>
      <x:c r="I78" s="22" t="str"/>
    </x:row>
    <x:row r="79">
      <x:c r="A79" s="22" t="str">
        <x:v>G Design</x:v>
      </x:c>
      <x:c r="B79" s="22" t="str">
        <x:v>brand_expression</x:v>
      </x:c>
      <x:c r="C79" s="22" t="str">
        <x:v>Brand Expression</x:v>
      </x:c>
      <x:c r="D79" s="22" t="str">
        <x:v>品牌表达</x:v>
      </x:c>
      <x:c r="E79" s="22" t="str">
        <x:v>String</x:v>
      </x:c>
      <x:c r="F79" s="22" t="str">
        <x:v>N</x:v>
      </x:c>
      <x:c r="G79" s="22" t="str">
        <x:v>Brand</x:v>
      </x:c>
      <x:c r="H79" s="22" t="str">
        <x:v>AI assist</x:v>
      </x:c>
      <x:c r="I79" s="22" t="str"/>
    </x:row>
    <x:row r="80">
      <x:c r="A80" s="22" t="str">
        <x:v>G Design</x:v>
      </x:c>
      <x:c r="B80" s="22" t="str">
        <x:v>visual_complexity</x:v>
      </x:c>
      <x:c r="C80" s="22" t="str">
        <x:v>Visual Complexity</x:v>
      </x:c>
      <x:c r="D80" s="22" t="str">
        <x:v>视觉复杂度</x:v>
      </x:c>
      <x:c r="E80" s="22" t="str">
        <x:v>Number 1-5</x:v>
      </x:c>
      <x:c r="F80" s="22" t="str">
        <x:v>N</x:v>
      </x:c>
      <x:c r="G80" s="22" t="str">
        <x:v>Designer</x:v>
      </x:c>
      <x:c r="H80" s="22" t="str">
        <x:v>AI assist</x:v>
      </x:c>
      <x:c r="I80" s="22" t="str"/>
    </x:row>
    <x:row r="81">
      <x:c r="A81" s="22" t="str">
        <x:v>G Design</x:v>
      </x:c>
      <x:c r="B81" s="22" t="str">
        <x:v>perceived_value</x:v>
      </x:c>
      <x:c r="C81" s="22" t="str">
        <x:v>Perceived Value</x:v>
      </x:c>
      <x:c r="D81" s="22" t="str">
        <x:v>感知价值</x:v>
      </x:c>
      <x:c r="E81" s="22" t="str">
        <x:v>Number 1-100</x:v>
      </x:c>
      <x:c r="F81" s="22" t="str">
        <x:v>N</x:v>
      </x:c>
      <x:c r="G81" s="22" t="str">
        <x:v>Product Manager</x:v>
      </x:c>
      <x:c r="H81" s="22" t="str">
        <x:v>AI assist</x:v>
      </x:c>
      <x:c r="I81" s="22" t="str"/>
    </x:row>
    <x:row r="82">
      <x:c r="A82" s="22" t="str">
        <x:v>H Material</x:v>
      </x:c>
      <x:c r="B82" s="22" t="str">
        <x:v>main_material</x:v>
      </x:c>
      <x:c r="C82" s="22" t="str">
        <x:v>Main Material</x:v>
      </x:c>
      <x:c r="D82" s="22" t="str">
        <x:v>主要材质</x:v>
      </x:c>
      <x:c r="E82" s="22" t="str">
        <x:v>Enum</x:v>
      </x:c>
      <x:c r="F82" s="22" t="str">
        <x:v>Y</x:v>
      </x:c>
      <x:c r="G82" s="22" t="str">
        <x:v>Official Product Data</x:v>
      </x:c>
      <x:c r="H82" s="22" t="str">
        <x:v>No</x:v>
      </x:c>
      <x:c r="I82" s="22" t="str">
        <x:v>Material</x:v>
      </x:c>
    </x:row>
    <x:row r="83">
      <x:c r="A83" s="22" t="str">
        <x:v>H Material</x:v>
      </x:c>
      <x:c r="B83" s="22" t="str">
        <x:v>surface_material</x:v>
      </x:c>
      <x:c r="C83" s="22" t="str">
        <x:v>Surface Material</x:v>
      </x:c>
      <x:c r="D83" s="22" t="str">
        <x:v>表面材质</x:v>
      </x:c>
      <x:c r="E83" s="22" t="str">
        <x:v>String</x:v>
      </x:c>
      <x:c r="F83" s="22" t="str">
        <x:v>N</x:v>
      </x:c>
      <x:c r="G83" s="22" t="str">
        <x:v>Official Product Data</x:v>
      </x:c>
      <x:c r="H83" s="22" t="str">
        <x:v>No</x:v>
      </x:c>
      <x:c r="I83" s="22" t="str"/>
    </x:row>
    <x:row r="84">
      <x:c r="A84" s="22" t="str">
        <x:v>H Material</x:v>
      </x:c>
      <x:c r="B84" s="22" t="str">
        <x:v>silicone_type</x:v>
      </x:c>
      <x:c r="C84" s="22" t="str">
        <x:v>Silicone Type</x:v>
      </x:c>
      <x:c r="D84" s="22" t="str">
        <x:v>硅胶类型</x:v>
      </x:c>
      <x:c r="E84" s="22" t="str">
        <x:v>String</x:v>
      </x:c>
      <x:c r="F84" s="22" t="str">
        <x:v>N</x:v>
      </x:c>
      <x:c r="G84" s="22" t="str">
        <x:v>Official Product Data</x:v>
      </x:c>
      <x:c r="H84" s="22" t="str">
        <x:v>No</x:v>
      </x:c>
      <x:c r="I84" s="22" t="str"/>
    </x:row>
    <x:row r="85">
      <x:c r="A85" s="22" t="str">
        <x:v>H Material</x:v>
      </x:c>
      <x:c r="B85" s="22" t="str">
        <x:v>hardness</x:v>
      </x:c>
      <x:c r="C85" s="22" t="str">
        <x:v>Hardness</x:v>
      </x:c>
      <x:c r="D85" s="22" t="str">
        <x:v>硬度</x:v>
      </x:c>
      <x:c r="E85" s="22" t="str">
        <x:v>String</x:v>
      </x:c>
      <x:c r="F85" s="22" t="str">
        <x:v>N</x:v>
      </x:c>
      <x:c r="G85" s="22" t="str">
        <x:v>Official Product Data</x:v>
      </x:c>
      <x:c r="H85" s="22" t="str">
        <x:v>No</x:v>
      </x:c>
      <x:c r="I85" s="22" t="str"/>
    </x:row>
    <x:row r="86">
      <x:c r="A86" s="22" t="str">
        <x:v>H Material</x:v>
      </x:c>
      <x:c r="B86" s="22" t="str">
        <x:v>texture</x:v>
      </x:c>
      <x:c r="C86" s="22" t="str">
        <x:v>Texture</x:v>
      </x:c>
      <x:c r="D86" s="22" t="str">
        <x:v>表面触感</x:v>
      </x:c>
      <x:c r="E86" s="22" t="str">
        <x:v>String</x:v>
      </x:c>
      <x:c r="F86" s="22" t="str">
        <x:v>N</x:v>
      </x:c>
      <x:c r="G86" s="22" t="str">
        <x:v>Official Product Data</x:v>
      </x:c>
      <x:c r="H86" s="22" t="str">
        <x:v>AI assist</x:v>
      </x:c>
      <x:c r="I86" s="22" t="str"/>
    </x:row>
    <x:row r="87">
      <x:c r="A87" s="22" t="str">
        <x:v>H Material</x:v>
      </x:c>
      <x:c r="B87" s="22" t="str">
        <x:v>coating</x:v>
      </x:c>
      <x:c r="C87" s="22" t="str">
        <x:v>Coating</x:v>
      </x:c>
      <x:c r="D87" s="22" t="str">
        <x:v>表面处理</x:v>
      </x:c>
      <x:c r="E87" s="22" t="str">
        <x:v>String</x:v>
      </x:c>
      <x:c r="F87" s="22" t="str">
        <x:v>N</x:v>
      </x:c>
      <x:c r="G87" s="22" t="str">
        <x:v>Official Product Data</x:v>
      </x:c>
      <x:c r="H87" s="22" t="str">
        <x:v>No</x:v>
      </x:c>
      <x:c r="I87" s="22" t="str"/>
    </x:row>
    <x:row r="88">
      <x:c r="A88" s="22" t="str">
        <x:v>H Material</x:v>
      </x:c>
      <x:c r="B88" s="22" t="str">
        <x:v>material_certification</x:v>
      </x:c>
      <x:c r="C88" s="22" t="str">
        <x:v>Material Certification</x:v>
      </x:c>
      <x:c r="D88" s="22" t="str">
        <x:v>材质认证</x:v>
      </x:c>
      <x:c r="E88" s="22" t="str">
        <x:v>String</x:v>
      </x:c>
      <x:c r="F88" s="22" t="str">
        <x:v>N</x:v>
      </x:c>
      <x:c r="G88" s="22" t="str">
        <x:v>Certified Document</x:v>
      </x:c>
      <x:c r="H88" s="22" t="str">
        <x:v>No</x:v>
      </x:c>
      <x:c r="I88" s="22" t="str"/>
    </x:row>
    <x:row r="89">
      <x:c r="A89" s="22" t="str">
        <x:v>I Dimensions</x:v>
      </x:c>
      <x:c r="B89" s="22" t="str">
        <x:v>product_length</x:v>
      </x:c>
      <x:c r="C89" s="22" t="str">
        <x:v>Product Length</x:v>
      </x:c>
      <x:c r="D89" s="22" t="str">
        <x:v>产品长度</x:v>
      </x:c>
      <x:c r="E89" s="22" t="str">
        <x:v>Number</x:v>
      </x:c>
      <x:c r="F89" s="22" t="str">
        <x:v>N</x:v>
      </x:c>
      <x:c r="G89" s="22" t="str">
        <x:v>Official Product Data</x:v>
      </x:c>
      <x:c r="H89" s="22" t="str">
        <x:v>No</x:v>
      </x:c>
      <x:c r="I89" s="22" t="str"/>
    </x:row>
    <x:row r="90">
      <x:c r="A90" s="22" t="str">
        <x:v>I Dimensions</x:v>
      </x:c>
      <x:c r="B90" s="22" t="str">
        <x:v>product_width</x:v>
      </x:c>
      <x:c r="C90" s="22" t="str">
        <x:v>Product Width</x:v>
      </x:c>
      <x:c r="D90" s="22" t="str">
        <x:v>产品宽度</x:v>
      </x:c>
      <x:c r="E90" s="22" t="str">
        <x:v>Number</x:v>
      </x:c>
      <x:c r="F90" s="22" t="str">
        <x:v>N</x:v>
      </x:c>
      <x:c r="G90" s="22" t="str">
        <x:v>Official Product Data</x:v>
      </x:c>
      <x:c r="H90" s="22" t="str">
        <x:v>No</x:v>
      </x:c>
      <x:c r="I90" s="22" t="str"/>
    </x:row>
    <x:row r="91">
      <x:c r="A91" s="22" t="str">
        <x:v>I Dimensions</x:v>
      </x:c>
      <x:c r="B91" s="22" t="str">
        <x:v>product_height</x:v>
      </x:c>
      <x:c r="C91" s="22" t="str">
        <x:v>Product Height</x:v>
      </x:c>
      <x:c r="D91" s="22" t="str">
        <x:v>产品高度</x:v>
      </x:c>
      <x:c r="E91" s="22" t="str">
        <x:v>Number</x:v>
      </x:c>
      <x:c r="F91" s="22" t="str">
        <x:v>N</x:v>
      </x:c>
      <x:c r="G91" s="22" t="str">
        <x:v>Official Product Data</x:v>
      </x:c>
      <x:c r="H91" s="22" t="str">
        <x:v>No</x:v>
      </x:c>
      <x:c r="I91" s="22" t="str"/>
    </x:row>
    <x:row r="92">
      <x:c r="A92" s="22" t="str">
        <x:v>I Dimensions</x:v>
      </x:c>
      <x:c r="B92" s="22" t="str">
        <x:v>product_diameter</x:v>
      </x:c>
      <x:c r="C92" s="22" t="str">
        <x:v>Product Diameter</x:v>
      </x:c>
      <x:c r="D92" s="22" t="str">
        <x:v>产品直径</x:v>
      </x:c>
      <x:c r="E92" s="22" t="str">
        <x:v>Number</x:v>
      </x:c>
      <x:c r="F92" s="22" t="str">
        <x:v>N</x:v>
      </x:c>
      <x:c r="G92" s="22" t="str">
        <x:v>Official Product Data</x:v>
      </x:c>
      <x:c r="H92" s="22" t="str">
        <x:v>No</x:v>
      </x:c>
      <x:c r="I92" s="22" t="str"/>
    </x:row>
    <x:row r="93">
      <x:c r="A93" s="22" t="str">
        <x:v>I Dimensions</x:v>
      </x:c>
      <x:c r="B93" s="22" t="str">
        <x:v>net_weight</x:v>
      </x:c>
      <x:c r="C93" s="22" t="str">
        <x:v>Net Weight</x:v>
      </x:c>
      <x:c r="D93" s="22" t="str">
        <x:v>净重</x:v>
      </x:c>
      <x:c r="E93" s="22" t="str">
        <x:v>Number</x:v>
      </x:c>
      <x:c r="F93" s="22" t="str">
        <x:v>N</x:v>
      </x:c>
      <x:c r="G93" s="22" t="str">
        <x:v>Official Product Data</x:v>
      </x:c>
      <x:c r="H93" s="22" t="str">
        <x:v>No</x:v>
      </x:c>
      <x:c r="I93" s="22" t="str"/>
    </x:row>
    <x:row r="94">
      <x:c r="A94" s="22" t="str">
        <x:v>I Dimensions</x:v>
      </x:c>
      <x:c r="B94" s="22" t="str">
        <x:v>gross_weight</x:v>
      </x:c>
      <x:c r="C94" s="22" t="str">
        <x:v>Gross Weight</x:v>
      </x:c>
      <x:c r="D94" s="22" t="str">
        <x:v>毛重</x:v>
      </x:c>
      <x:c r="E94" s="22" t="str">
        <x:v>Number</x:v>
      </x:c>
      <x:c r="F94" s="22" t="str">
        <x:v>N</x:v>
      </x:c>
      <x:c r="G94" s="22" t="str">
        <x:v>Official Product Data</x:v>
      </x:c>
      <x:c r="H94" s="22" t="str">
        <x:v>No</x:v>
      </x:c>
      <x:c r="I94" s="22" t="str"/>
    </x:row>
    <x:row r="95">
      <x:c r="A95" s="22" t="str">
        <x:v>I Dimensions</x:v>
      </x:c>
      <x:c r="B95" s="22" t="str">
        <x:v>package_length</x:v>
      </x:c>
      <x:c r="C95" s="22" t="str">
        <x:v>Package Length</x:v>
      </x:c>
      <x:c r="D95" s="22" t="str">
        <x:v>包装长度</x:v>
      </x:c>
      <x:c r="E95" s="22" t="str">
        <x:v>Number</x:v>
      </x:c>
      <x:c r="F95" s="22" t="str">
        <x:v>N</x:v>
      </x:c>
      <x:c r="G95" s="22" t="str">
        <x:v>Official Product Data</x:v>
      </x:c>
      <x:c r="H95" s="22" t="str">
        <x:v>No</x:v>
      </x:c>
      <x:c r="I95" s="22" t="str"/>
    </x:row>
    <x:row r="96">
      <x:c r="A96" s="22" t="str">
        <x:v>I Dimensions</x:v>
      </x:c>
      <x:c r="B96" s="22" t="str">
        <x:v>package_width</x:v>
      </x:c>
      <x:c r="C96" s="22" t="str">
        <x:v>Package Width</x:v>
      </x:c>
      <x:c r="D96" s="22" t="str">
        <x:v>包装宽度</x:v>
      </x:c>
      <x:c r="E96" s="22" t="str">
        <x:v>Number</x:v>
      </x:c>
      <x:c r="F96" s="22" t="str">
        <x:v>N</x:v>
      </x:c>
      <x:c r="G96" s="22" t="str">
        <x:v>Official Product Data</x:v>
      </x:c>
      <x:c r="H96" s="22" t="str">
        <x:v>No</x:v>
      </x:c>
      <x:c r="I96" s="22" t="str"/>
    </x:row>
    <x:row r="97">
      <x:c r="A97" s="22" t="str">
        <x:v>I Dimensions</x:v>
      </x:c>
      <x:c r="B97" s="22" t="str">
        <x:v>package_height</x:v>
      </x:c>
      <x:c r="C97" s="22" t="str">
        <x:v>Package Height</x:v>
      </x:c>
      <x:c r="D97" s="22" t="str">
        <x:v>包装高度</x:v>
      </x:c>
      <x:c r="E97" s="22" t="str">
        <x:v>Number</x:v>
      </x:c>
      <x:c r="F97" s="22" t="str">
        <x:v>N</x:v>
      </x:c>
      <x:c r="G97" s="22" t="str">
        <x:v>Official Product Data</x:v>
      </x:c>
      <x:c r="H97" s="22" t="str">
        <x:v>No</x:v>
      </x:c>
      <x:c r="I97" s="22" t="str"/>
    </x:row>
    <x:row r="98">
      <x:c r="A98" s="22" t="str">
        <x:v>J Technology</x:v>
      </x:c>
      <x:c r="B98" s="22" t="str">
        <x:v>technology</x:v>
      </x:c>
      <x:c r="C98" s="22" t="str">
        <x:v>Technology</x:v>
      </x:c>
      <x:c r="D98" s="22" t="str">
        <x:v>技术类型</x:v>
      </x:c>
      <x:c r="E98" s="22" t="str">
        <x:v>String</x:v>
      </x:c>
      <x:c r="F98" s="22" t="str">
        <x:v>N</x:v>
      </x:c>
      <x:c r="G98" s="22" t="str">
        <x:v>Official Product Data</x:v>
      </x:c>
      <x:c r="H98" s="22" t="str">
        <x:v>AI assist</x:v>
      </x:c>
      <x:c r="I98" s="22" t="str"/>
    </x:row>
    <x:row r="99">
      <x:c r="A99" s="22" t="str">
        <x:v>J Technology</x:v>
      </x:c>
      <x:c r="B99" s="22" t="str">
        <x:v>motor_system</x:v>
      </x:c>
      <x:c r="C99" s="22" t="str">
        <x:v>Motor System</x:v>
      </x:c>
      <x:c r="D99" s="22" t="str">
        <x:v>马达系统</x:v>
      </x:c>
      <x:c r="E99" s="22" t="str">
        <x:v>String</x:v>
      </x:c>
      <x:c r="F99" s="22" t="str">
        <x:v>N</x:v>
      </x:c>
      <x:c r="G99" s="22" t="str">
        <x:v>Official Product Data</x:v>
      </x:c>
      <x:c r="H99" s="22" t="str">
        <x:v>No</x:v>
      </x:c>
      <x:c r="I99" s="22" t="str"/>
    </x:row>
    <x:row r="100">
      <x:c r="A100" s="22" t="str">
        <x:v>J Technology</x:v>
      </x:c>
      <x:c r="B100" s="22" t="str">
        <x:v>control_system</x:v>
      </x:c>
      <x:c r="C100" s="22" t="str">
        <x:v>Control System</x:v>
      </x:c>
      <x:c r="D100" s="22" t="str">
        <x:v>控制系统</x:v>
      </x:c>
      <x:c r="E100" s="22" t="str">
        <x:v>String</x:v>
      </x:c>
      <x:c r="F100" s="22" t="str">
        <x:v>N</x:v>
      </x:c>
      <x:c r="G100" s="22" t="str">
        <x:v>Official Product Data</x:v>
      </x:c>
      <x:c r="H100" s="22" t="str">
        <x:v>AI assist</x:v>
      </x:c>
      <x:c r="I100" s="22" t="str"/>
    </x:row>
    <x:row r="101">
      <x:c r="A101" s="22" t="str">
        <x:v>J Technology</x:v>
      </x:c>
      <x:c r="B101" s="22" t="str">
        <x:v>control_distance</x:v>
      </x:c>
      <x:c r="C101" s="22" t="str">
        <x:v>Control Distance</x:v>
      </x:c>
      <x:c r="D101" s="22" t="str">
        <x:v>控制距离</x:v>
      </x:c>
      <x:c r="E101" s="22" t="str">
        <x:v>Number</x:v>
      </x:c>
      <x:c r="F101" s="22" t="str">
        <x:v>N</x:v>
      </x:c>
      <x:c r="G101" s="22" t="str">
        <x:v>Official Product Data</x:v>
      </x:c>
      <x:c r="H101" s="22" t="str">
        <x:v>No</x:v>
      </x:c>
      <x:c r="I101" s="22" t="str"/>
    </x:row>
    <x:row r="102">
      <x:c r="A102" s="22" t="str">
        <x:v>J Technology</x:v>
      </x:c>
      <x:c r="B102" s="22" t="str">
        <x:v>frequency</x:v>
      </x:c>
      <x:c r="C102" s="22" t="str">
        <x:v>Frequency</x:v>
      </x:c>
      <x:c r="D102" s="22" t="str">
        <x:v>频率</x:v>
      </x:c>
      <x:c r="E102" s="22" t="str">
        <x:v>String</x:v>
      </x:c>
      <x:c r="F102" s="22" t="str">
        <x:v>N</x:v>
      </x:c>
      <x:c r="G102" s="22" t="str">
        <x:v>Official Product Data</x:v>
      </x:c>
      <x:c r="H102" s="22" t="str">
        <x:v>No</x:v>
      </x:c>
      <x:c r="I102" s="22" t="str"/>
    </x:row>
    <x:row r="103">
      <x:c r="A103" s="22" t="str">
        <x:v>J Technology</x:v>
      </x:c>
      <x:c r="B103" s="22" t="str">
        <x:v>amplitude</x:v>
      </x:c>
      <x:c r="C103" s="22" t="str">
        <x:v>Amplitude</x:v>
      </x:c>
      <x:c r="D103" s="22" t="str">
        <x:v>振幅</x:v>
      </x:c>
      <x:c r="E103" s="22" t="str">
        <x:v>String</x:v>
      </x:c>
      <x:c r="F103" s="22" t="str">
        <x:v>N</x:v>
      </x:c>
      <x:c r="G103" s="22" t="str">
        <x:v>Official Product Data</x:v>
      </x:c>
      <x:c r="H103" s="22" t="str">
        <x:v>No</x:v>
      </x:c>
      <x:c r="I103" s="22" t="str"/>
    </x:row>
    <x:row r="104">
      <x:c r="A104" s="22" t="str">
        <x:v>J Technology</x:v>
      </x:c>
      <x:c r="B104" s="22" t="str">
        <x:v>noise_level</x:v>
      </x:c>
      <x:c r="C104" s="22" t="str">
        <x:v>Noise Level</x:v>
      </x:c>
      <x:c r="D104" s="22" t="str">
        <x:v>噪音</x:v>
      </x:c>
      <x:c r="E104" s="22" t="str">
        <x:v>String</x:v>
      </x:c>
      <x:c r="F104" s="22" t="str">
        <x:v>N</x:v>
      </x:c>
      <x:c r="G104" s="22" t="str">
        <x:v>Official Product Data</x:v>
      </x:c>
      <x:c r="H104" s="22" t="str">
        <x:v>No</x:v>
      </x:c>
      <x:c r="I104" s="22" t="str"/>
    </x:row>
    <x:row r="105">
      <x:c r="A105" s="22" t="str">
        <x:v>J Technology</x:v>
      </x:c>
      <x:c r="B105" s="22" t="str">
        <x:v>working_time</x:v>
      </x:c>
      <x:c r="C105" s="22" t="str">
        <x:v>Working Time</x:v>
      </x:c>
      <x:c r="D105" s="22" t="str">
        <x:v>工作时间</x:v>
      </x:c>
      <x:c r="E105" s="22" t="str">
        <x:v>String</x:v>
      </x:c>
      <x:c r="F105" s="22" t="str">
        <x:v>N</x:v>
      </x:c>
      <x:c r="G105" s="22" t="str">
        <x:v>Official Product Data</x:v>
      </x:c>
      <x:c r="H105" s="22" t="str">
        <x:v>No</x:v>
      </x:c>
      <x:c r="I105" s="22" t="str"/>
    </x:row>
    <x:row r="106">
      <x:c r="A106" s="22" t="str">
        <x:v>J Technology</x:v>
      </x:c>
      <x:c r="B106" s="22" t="str">
        <x:v>charging_time</x:v>
      </x:c>
      <x:c r="C106" s="22" t="str">
        <x:v>Charging Time</x:v>
      </x:c>
      <x:c r="D106" s="22" t="str">
        <x:v>充电时间</x:v>
      </x:c>
      <x:c r="E106" s="22" t="str">
        <x:v>String</x:v>
      </x:c>
      <x:c r="F106" s="22" t="str">
        <x:v>N</x:v>
      </x:c>
      <x:c r="G106" s="22" t="str">
        <x:v>Official Product Data</x:v>
      </x:c>
      <x:c r="H106" s="22" t="str">
        <x:v>No</x:v>
      </x:c>
      <x:c r="I106" s="22" t="str"/>
    </x:row>
    <x:row r="107">
      <x:c r="A107" s="22" t="str">
        <x:v>J Technology</x:v>
      </x:c>
      <x:c r="B107" s="22" t="str">
        <x:v>standby_time</x:v>
      </x:c>
      <x:c r="C107" s="22" t="str">
        <x:v>Standby Time</x:v>
      </x:c>
      <x:c r="D107" s="22" t="str">
        <x:v>待机时间</x:v>
      </x:c>
      <x:c r="E107" s="22" t="str">
        <x:v>String</x:v>
      </x:c>
      <x:c r="F107" s="22" t="str">
        <x:v>N</x:v>
      </x:c>
      <x:c r="G107" s="22" t="str">
        <x:v>Official Product Data</x:v>
      </x:c>
      <x:c r="H107" s="22" t="str">
        <x:v>No</x:v>
      </x:c>
      <x:c r="I107" s="22" t="str"/>
    </x:row>
    <x:row r="108">
      <x:c r="A108" s="22" t="str">
        <x:v>J Technology</x:v>
      </x:c>
      <x:c r="B108" s="22" t="str">
        <x:v>display</x:v>
      </x:c>
      <x:c r="C108" s="22" t="str">
        <x:v>Display</x:v>
      </x:c>
      <x:c r="D108" s="22" t="str">
        <x:v>显示方式</x:v>
      </x:c>
      <x:c r="E108" s="22" t="str">
        <x:v>String</x:v>
      </x:c>
      <x:c r="F108" s="22" t="str">
        <x:v>N</x:v>
      </x:c>
      <x:c r="G108" s="22" t="str">
        <x:v>Official Product Data</x:v>
      </x:c>
      <x:c r="H108" s="22" t="str">
        <x:v>No</x:v>
      </x:c>
      <x:c r="I108" s="22" t="str"/>
    </x:row>
    <x:row r="109">
      <x:c r="A109" s="22" t="str">
        <x:v>J Technology</x:v>
      </x:c>
      <x:c r="B109" s="22" t="str">
        <x:v>indicator</x:v>
      </x:c>
      <x:c r="C109" s="22" t="str">
        <x:v>Indicator</x:v>
      </x:c>
      <x:c r="D109" s="22" t="str">
        <x:v>指示方式</x:v>
      </x:c>
      <x:c r="E109" s="22" t="str">
        <x:v>String</x:v>
      </x:c>
      <x:c r="F109" s="22" t="str">
        <x:v>N</x:v>
      </x:c>
      <x:c r="G109" s="22" t="str">
        <x:v>Official Product Data</x:v>
      </x:c>
      <x:c r="H109" s="22" t="str">
        <x:v>No</x:v>
      </x:c>
      <x:c r="I109" s="22" t="str"/>
    </x:row>
    <x:row r="110">
      <x:c r="A110" s="22" t="str">
        <x:v>K Electrical</x:v>
      </x:c>
      <x:c r="B110" s="22" t="str">
        <x:v>battery_type</x:v>
      </x:c>
      <x:c r="C110" s="22" t="str">
        <x:v>Battery Type</x:v>
      </x:c>
      <x:c r="D110" s="22" t="str">
        <x:v>电池类型</x:v>
      </x:c>
      <x:c r="E110" s="22" t="str">
        <x:v>String</x:v>
      </x:c>
      <x:c r="F110" s="22" t="str">
        <x:v>N</x:v>
      </x:c>
      <x:c r="G110" s="22" t="str">
        <x:v>Official Product Data</x:v>
      </x:c>
      <x:c r="H110" s="22" t="str">
        <x:v>No</x:v>
      </x:c>
      <x:c r="I110" s="22" t="str"/>
    </x:row>
    <x:row r="111">
      <x:c r="A111" s="22" t="str">
        <x:v>K Electrical</x:v>
      </x:c>
      <x:c r="B111" s="22" t="str">
        <x:v>battery_capacity</x:v>
      </x:c>
      <x:c r="C111" s="22" t="str">
        <x:v>Battery Capacity</x:v>
      </x:c>
      <x:c r="D111" s="22" t="str">
        <x:v>电池容量</x:v>
      </x:c>
      <x:c r="E111" s="22" t="str">
        <x:v>Number</x:v>
      </x:c>
      <x:c r="F111" s="22" t="str">
        <x:v>N</x:v>
      </x:c>
      <x:c r="G111" s="22" t="str">
        <x:v>Official Product Data</x:v>
      </x:c>
      <x:c r="H111" s="22" t="str">
        <x:v>No</x:v>
      </x:c>
      <x:c r="I111" s="22" t="str"/>
    </x:row>
    <x:row r="112">
      <x:c r="A112" s="22" t="str">
        <x:v>K Electrical</x:v>
      </x:c>
      <x:c r="B112" s="22" t="str">
        <x:v>voltage</x:v>
      </x:c>
      <x:c r="C112" s="22" t="str">
        <x:v>Voltage</x:v>
      </x:c>
      <x:c r="D112" s="22" t="str">
        <x:v>电压</x:v>
      </x:c>
      <x:c r="E112" s="22" t="str">
        <x:v>String</x:v>
      </x:c>
      <x:c r="F112" s="22" t="str">
        <x:v>N</x:v>
      </x:c>
      <x:c r="G112" s="22" t="str">
        <x:v>Official Product Data</x:v>
      </x:c>
      <x:c r="H112" s="22" t="str">
        <x:v>No</x:v>
      </x:c>
      <x:c r="I112" s="22" t="str"/>
    </x:row>
    <x:row r="113">
      <x:c r="A113" s="22" t="str">
        <x:v>K Electrical</x:v>
      </x:c>
      <x:c r="B113" s="22" t="str">
        <x:v>input_voltage</x:v>
      </x:c>
      <x:c r="C113" s="22" t="str">
        <x:v>Input Voltage</x:v>
      </x:c>
      <x:c r="D113" s="22" t="str">
        <x:v>输入电压</x:v>
      </x:c>
      <x:c r="E113" s="22" t="str">
        <x:v>String</x:v>
      </x:c>
      <x:c r="F113" s="22" t="str">
        <x:v>N</x:v>
      </x:c>
      <x:c r="G113" s="22" t="str">
        <x:v>Official Product Data</x:v>
      </x:c>
      <x:c r="H113" s="22" t="str">
        <x:v>No</x:v>
      </x:c>
      <x:c r="I113" s="22" t="str"/>
    </x:row>
    <x:row r="114">
      <x:c r="A114" s="22" t="str">
        <x:v>K Electrical</x:v>
      </x:c>
      <x:c r="B114" s="22" t="str">
        <x:v>charging_type</x:v>
      </x:c>
      <x:c r="C114" s="22" t="str">
        <x:v>Charging Type</x:v>
      </x:c>
      <x:c r="D114" s="22" t="str">
        <x:v>充电方式</x:v>
      </x:c>
      <x:c r="E114" s="22" t="str">
        <x:v>String</x:v>
      </x:c>
      <x:c r="F114" s="22" t="str">
        <x:v>N</x:v>
      </x:c>
      <x:c r="G114" s="22" t="str">
        <x:v>Official Product Data</x:v>
      </x:c>
      <x:c r="H114" s="22" t="str">
        <x:v>No</x:v>
      </x:c>
      <x:c r="I114" s="22" t="str"/>
    </x:row>
    <x:row r="115">
      <x:c r="A115" s="22" t="str">
        <x:v>K Electrical</x:v>
      </x:c>
      <x:c r="B115" s="22" t="str">
        <x:v>charging_port</x:v>
      </x:c>
      <x:c r="C115" s="22" t="str">
        <x:v>Charging Port</x:v>
      </x:c>
      <x:c r="D115" s="22" t="str">
        <x:v>充电接口</x:v>
      </x:c>
      <x:c r="E115" s="22" t="str">
        <x:v>String</x:v>
      </x:c>
      <x:c r="F115" s="22" t="str">
        <x:v>N</x:v>
      </x:c>
      <x:c r="G115" s="22" t="str">
        <x:v>Official Product Data</x:v>
      </x:c>
      <x:c r="H115" s="22" t="str">
        <x:v>No</x:v>
      </x:c>
      <x:c r="I115" s="22" t="str"/>
    </x:row>
    <x:row r="116">
      <x:c r="A116" s="22" t="str">
        <x:v>K Electrical</x:v>
      </x:c>
      <x:c r="B116" s="22" t="str">
        <x:v>usb</x:v>
      </x:c>
      <x:c r="C116" s="22" t="str">
        <x:v>USB</x:v>
      </x:c>
      <x:c r="D116" s="22" t="str">
        <x:v>USB</x:v>
      </x:c>
      <x:c r="E116" s="22" t="str">
        <x:v>Yes/No</x:v>
      </x:c>
      <x:c r="F116" s="22" t="str">
        <x:v>N</x:v>
      </x:c>
      <x:c r="G116" s="22" t="str">
        <x:v>Official Product Data</x:v>
      </x:c>
      <x:c r="H116" s="22" t="str">
        <x:v>No</x:v>
      </x:c>
      <x:c r="I116" s="22" t="str">
        <x:v>YesNo</x:v>
      </x:c>
    </x:row>
    <x:row r="117">
      <x:c r="A117" s="22" t="str">
        <x:v>K Electrical</x:v>
      </x:c>
      <x:c r="B117" s="22" t="str">
        <x:v>wireless_charging</x:v>
      </x:c>
      <x:c r="C117" s="22" t="str">
        <x:v>Wireless Charging</x:v>
      </x:c>
      <x:c r="D117" s="22" t="str">
        <x:v>无线充电</x:v>
      </x:c>
      <x:c r="E117" s="22" t="str">
        <x:v>Yes/No</x:v>
      </x:c>
      <x:c r="F117" s="22" t="str">
        <x:v>N</x:v>
      </x:c>
      <x:c r="G117" s="22" t="str">
        <x:v>Official Product Data</x:v>
      </x:c>
      <x:c r="H117" s="22" t="str">
        <x:v>No</x:v>
      </x:c>
      <x:c r="I117" s="22" t="str">
        <x:v>YesNo</x:v>
      </x:c>
    </x:row>
    <x:row r="118">
      <x:c r="A118" s="22" t="str">
        <x:v>K Electrical</x:v>
      </x:c>
      <x:c r="B118" s="22" t="str">
        <x:v>power</x:v>
      </x:c>
      <x:c r="C118" s="22" t="str">
        <x:v>Power</x:v>
      </x:c>
      <x:c r="D118" s="22" t="str">
        <x:v>功率</x:v>
      </x:c>
      <x:c r="E118" s="22" t="str">
        <x:v>String</x:v>
      </x:c>
      <x:c r="F118" s="22" t="str">
        <x:v>N</x:v>
      </x:c>
      <x:c r="G118" s="22" t="str">
        <x:v>Official Product Data</x:v>
      </x:c>
      <x:c r="H118" s="22" t="str">
        <x:v>No</x:v>
      </x:c>
      <x:c r="I118" s="22" t="str"/>
    </x:row>
    <x:row r="119">
      <x:c r="A119" s="22" t="str">
        <x:v>L Waterproof</x:v>
      </x:c>
      <x:c r="B119" s="22" t="str">
        <x:v>waterproof_rating</x:v>
      </x:c>
      <x:c r="C119" s="22" t="str">
        <x:v>Waterproof Rating</x:v>
      </x:c>
      <x:c r="D119" s="22" t="str">
        <x:v>防水等级</x:v>
      </x:c>
      <x:c r="E119" s="22" t="str">
        <x:v>Enum</x:v>
      </x:c>
      <x:c r="F119" s="22" t="str">
        <x:v>N</x:v>
      </x:c>
      <x:c r="G119" s="22" t="str">
        <x:v>Official Product Data</x:v>
      </x:c>
      <x:c r="H119" s="22" t="str">
        <x:v>No</x:v>
      </x:c>
      <x:c r="I119" s="22" t="str">
        <x:v>Waterproof</x:v>
      </x:c>
    </x:row>
    <x:row r="120">
      <x:c r="A120" s="22" t="str">
        <x:v>M Packaging</x:v>
      </x:c>
      <x:c r="B120" s="22" t="str">
        <x:v>packaging_type</x:v>
      </x:c>
      <x:c r="C120" s="22" t="str">
        <x:v>Packaging Type</x:v>
      </x:c>
      <x:c r="D120" s="22" t="str">
        <x:v>包装类型</x:v>
      </x:c>
      <x:c r="E120" s="22" t="str">
        <x:v>String</x:v>
      </x:c>
      <x:c r="F120" s="22" t="str">
        <x:v>Y</x:v>
      </x:c>
      <x:c r="G120" s="22" t="str">
        <x:v>Official Product Data</x:v>
      </x:c>
      <x:c r="H120" s="22" t="str">
        <x:v>AI vision</x:v>
      </x:c>
      <x:c r="I120" s="22" t="str"/>
    </x:row>
    <x:row r="121">
      <x:c r="A121" s="22" t="str">
        <x:v>M Packaging</x:v>
      </x:c>
      <x:c r="B121" s="22" t="str">
        <x:v>box_material</x:v>
      </x:c>
      <x:c r="C121" s="22" t="str">
        <x:v>Box Material</x:v>
      </x:c>
      <x:c r="D121" s="22" t="str">
        <x:v>包装材料</x:v>
      </x:c>
      <x:c r="E121" s="22" t="str">
        <x:v>String</x:v>
      </x:c>
      <x:c r="F121" s="22" t="str">
        <x:v>N</x:v>
      </x:c>
      <x:c r="G121" s="22" t="str">
        <x:v>Official Product Data</x:v>
      </x:c>
      <x:c r="H121" s="22" t="str">
        <x:v>AI vision</x:v>
      </x:c>
      <x:c r="I121" s="22" t="str"/>
    </x:row>
    <x:row r="122">
      <x:c r="A122" s="22" t="str">
        <x:v>M Packaging</x:v>
      </x:c>
      <x:c r="B122" s="22" t="str">
        <x:v>box_color</x:v>
      </x:c>
      <x:c r="C122" s="22" t="str">
        <x:v>Box Color</x:v>
      </x:c>
      <x:c r="D122" s="22" t="str">
        <x:v>包装颜色</x:v>
      </x:c>
      <x:c r="E122" s="22" t="str">
        <x:v>String</x:v>
      </x:c>
      <x:c r="F122" s="22" t="str">
        <x:v>N</x:v>
      </x:c>
      <x:c r="G122" s="22" t="str">
        <x:v>Designer</x:v>
      </x:c>
      <x:c r="H122" s="22" t="str">
        <x:v>AI vision</x:v>
      </x:c>
      <x:c r="I122" s="22" t="str"/>
    </x:row>
    <x:row r="123">
      <x:c r="A123" s="22" t="str">
        <x:v>M Packaging</x:v>
      </x:c>
      <x:c r="B123" s="22" t="str">
        <x:v>box_size</x:v>
      </x:c>
      <x:c r="C123" s="22" t="str">
        <x:v>Box Size</x:v>
      </x:c>
      <x:c r="D123" s="22" t="str">
        <x:v>包装尺寸</x:v>
      </x:c>
      <x:c r="E123" s="22" t="str">
        <x:v>String</x:v>
      </x:c>
      <x:c r="F123" s="22" t="str">
        <x:v>N</x:v>
      </x:c>
      <x:c r="G123" s="22" t="str">
        <x:v>Official Product Data</x:v>
      </x:c>
      <x:c r="H123" s="22" t="str">
        <x:v>No</x:v>
      </x:c>
      <x:c r="I123" s="22" t="str"/>
    </x:row>
    <x:row r="124">
      <x:c r="A124" s="22" t="str">
        <x:v>M Packaging</x:v>
      </x:c>
      <x:c r="B124" s="22" t="str">
        <x:v>inner_packaging</x:v>
      </x:c>
      <x:c r="C124" s="22" t="str">
        <x:v>Inner Packaging</x:v>
      </x:c>
      <x:c r="D124" s="22" t="str">
        <x:v>内包装</x:v>
      </x:c>
      <x:c r="E124" s="22" t="str">
        <x:v>String</x:v>
      </x:c>
      <x:c r="F124" s="22" t="str">
        <x:v>N</x:v>
      </x:c>
      <x:c r="G124" s="22" t="str">
        <x:v>Official Product Data</x:v>
      </x:c>
      <x:c r="H124" s="22" t="str">
        <x:v>No</x:v>
      </x:c>
      <x:c r="I124" s="22" t="str"/>
    </x:row>
    <x:row r="125">
      <x:c r="A125" s="22" t="str">
        <x:v>M Packaging</x:v>
      </x:c>
      <x:c r="B125" s="22" t="str">
        <x:v>outer_packaging</x:v>
      </x:c>
      <x:c r="C125" s="22" t="str">
        <x:v>Outer Packaging</x:v>
      </x:c>
      <x:c r="D125" s="22" t="str">
        <x:v>外包装</x:v>
      </x:c>
      <x:c r="E125" s="22" t="str">
        <x:v>String</x:v>
      </x:c>
      <x:c r="F125" s="22" t="str">
        <x:v>N</x:v>
      </x:c>
      <x:c r="G125" s="22" t="str">
        <x:v>Official Product Data</x:v>
      </x:c>
      <x:c r="H125" s="22" t="str">
        <x:v>No</x:v>
      </x:c>
      <x:c r="I125" s="22" t="str"/>
    </x:row>
    <x:row r="126">
      <x:c r="A126" s="22" t="str">
        <x:v>M Packaging</x:v>
      </x:c>
      <x:c r="B126" s="22" t="str">
        <x:v>gift_packaging</x:v>
      </x:c>
      <x:c r="C126" s="22" t="str">
        <x:v>Gift Packaging</x:v>
      </x:c>
      <x:c r="D126" s="22" t="str">
        <x:v>礼盒包装</x:v>
      </x:c>
      <x:c r="E126" s="22" t="str">
        <x:v>Yes/No</x:v>
      </x:c>
      <x:c r="F126" s="22" t="str">
        <x:v>N</x:v>
      </x:c>
      <x:c r="G126" s="22" t="str">
        <x:v>Product Manager</x:v>
      </x:c>
      <x:c r="H126" s="22" t="str">
        <x:v>AI assist</x:v>
      </x:c>
      <x:c r="I126" s="22" t="str">
        <x:v>YesNo</x:v>
      </x:c>
    </x:row>
    <x:row r="127">
      <x:c r="A127" s="22" t="str">
        <x:v>M Packaging</x:v>
      </x:c>
      <x:c r="B127" s="22" t="str">
        <x:v>custom_packaging</x:v>
      </x:c>
      <x:c r="C127" s="22" t="str">
        <x:v>Custom Packaging</x:v>
      </x:c>
      <x:c r="D127" s="22" t="str">
        <x:v>定制包装</x:v>
      </x:c>
      <x:c r="E127" s="22" t="str">
        <x:v>Yes/No</x:v>
      </x:c>
      <x:c r="F127" s="22" t="str">
        <x:v>N</x:v>
      </x:c>
      <x:c r="G127" s="22" t="str">
        <x:v>Product Manager</x:v>
      </x:c>
      <x:c r="H127" s="22" t="str">
        <x:v>No</x:v>
      </x:c>
      <x:c r="I127" s="22" t="str">
        <x:v>YesNo</x:v>
      </x:c>
    </x:row>
    <x:row r="128">
      <x:c r="A128" s="22" t="str">
        <x:v>M Packaging</x:v>
      </x:c>
      <x:c r="B128" s="22" t="str">
        <x:v>language_packaging</x:v>
      </x:c>
      <x:c r="C128" s="22" t="str">
        <x:v>Language Packaging</x:v>
      </x:c>
      <x:c r="D128" s="22" t="str">
        <x:v>包装语言</x:v>
      </x:c>
      <x:c r="E128" s="22" t="str">
        <x:v>Multi-select</x:v>
      </x:c>
      <x:c r="F128" s="22" t="str">
        <x:v>N</x:v>
      </x:c>
      <x:c r="G128" s="22" t="str">
        <x:v>Product Manager</x:v>
      </x:c>
      <x:c r="H128" s="22" t="str">
        <x:v>No</x:v>
      </x:c>
      <x:c r="I128" s="22" t="str"/>
    </x:row>
    <x:row r="129">
      <x:c r="A129" s="22" t="str">
        <x:v>M Packaging</x:v>
      </x:c>
      <x:c r="B129" s="22" t="str">
        <x:v>manual_language</x:v>
      </x:c>
      <x:c r="C129" s="22" t="str">
        <x:v>Manual Language</x:v>
      </x:c>
      <x:c r="D129" s="22" t="str">
        <x:v>说明书语言</x:v>
      </x:c>
      <x:c r="E129" s="22" t="str">
        <x:v>Multi-select</x:v>
      </x:c>
      <x:c r="F129" s="22" t="str">
        <x:v>N</x:v>
      </x:c>
      <x:c r="G129" s="22" t="str">
        <x:v>Product Manager</x:v>
      </x:c>
      <x:c r="H129" s="22" t="str">
        <x:v>No</x:v>
      </x:c>
      <x:c r="I129" s="22" t="str"/>
    </x:row>
    <x:row r="130">
      <x:c r="A130" s="22" t="str">
        <x:v>N Commercial</x:v>
      </x:c>
      <x:c r="B130" s="22" t="str">
        <x:v>factory_price</x:v>
      </x:c>
      <x:c r="C130" s="22" t="str">
        <x:v>Factory Price</x:v>
      </x:c>
      <x:c r="D130" s="22" t="str">
        <x:v>工厂价格</x:v>
      </x:c>
      <x:c r="E130" s="22" t="str">
        <x:v>Currency</x:v>
      </x:c>
      <x:c r="F130" s="22" t="str">
        <x:v>N</x:v>
      </x:c>
      <x:c r="G130" s="22" t="str">
        <x:v>Sales/Product</x:v>
      </x:c>
      <x:c r="H130" s="22" t="str">
        <x:v>No</x:v>
      </x:c>
      <x:c r="I130" s="22" t="str"/>
    </x:row>
    <x:row r="131">
      <x:c r="A131" s="22" t="str">
        <x:v>N Commercial</x:v>
      </x:c>
      <x:c r="B131" s="22" t="str">
        <x:v>wholesale_price</x:v>
      </x:c>
      <x:c r="C131" s="22" t="str">
        <x:v>Wholesale Price</x:v>
      </x:c>
      <x:c r="D131" s="22" t="str">
        <x:v>批发价格</x:v>
      </x:c>
      <x:c r="E131" s="22" t="str">
        <x:v>Currency</x:v>
      </x:c>
      <x:c r="F131" s="22" t="str">
        <x:v>N</x:v>
      </x:c>
      <x:c r="G131" s="22" t="str">
        <x:v>Sales/Product</x:v>
      </x:c>
      <x:c r="H131" s="22" t="str">
        <x:v>No</x:v>
      </x:c>
      <x:c r="I131" s="22" t="str"/>
    </x:row>
    <x:row r="132">
      <x:c r="A132" s="22" t="str">
        <x:v>N Commercial</x:v>
      </x:c>
      <x:c r="B132" s="22" t="str">
        <x:v>suggested_retail_price</x:v>
      </x:c>
      <x:c r="C132" s="22" t="str">
        <x:v>Suggested Retail Price</x:v>
      </x:c>
      <x:c r="D132" s="22" t="str">
        <x:v>建议零售价</x:v>
      </x:c>
      <x:c r="E132" s="22" t="str">
        <x:v>Currency</x:v>
      </x:c>
      <x:c r="F132" s="22" t="str">
        <x:v>N</x:v>
      </x:c>
      <x:c r="G132" s="22" t="str">
        <x:v>Product/Market</x:v>
      </x:c>
      <x:c r="H132" s="22" t="str">
        <x:v>No</x:v>
      </x:c>
      <x:c r="I132" s="22" t="str"/>
    </x:row>
    <x:row r="133">
      <x:c r="A133" s="22" t="str">
        <x:v>N Commercial</x:v>
      </x:c>
      <x:c r="B133" s="22" t="str">
        <x:v>target_retail_price</x:v>
      </x:c>
      <x:c r="C133" s="22" t="str">
        <x:v>Target Retail Price</x:v>
      </x:c>
      <x:c r="D133" s="22" t="str">
        <x:v>目标零售价</x:v>
      </x:c>
      <x:c r="E133" s="22" t="str">
        <x:v>Currency</x:v>
      </x:c>
      <x:c r="F133" s="22" t="str">
        <x:v>N</x:v>
      </x:c>
      <x:c r="G133" s="22" t="str">
        <x:v>Sales/Product</x:v>
      </x:c>
      <x:c r="H133" s="22" t="str">
        <x:v>No</x:v>
      </x:c>
      <x:c r="I133" s="22" t="str"/>
    </x:row>
    <x:row r="134">
      <x:c r="A134" s="22" t="str">
        <x:v>N Commercial</x:v>
      </x:c>
      <x:c r="B134" s="22" t="str">
        <x:v>price_level</x:v>
      </x:c>
      <x:c r="C134" s="22" t="str">
        <x:v>Price Level</x:v>
      </x:c>
      <x:c r="D134" s="22" t="str">
        <x:v>价格等级</x:v>
      </x:c>
      <x:c r="E134" s="22" t="str">
        <x:v>Enum</x:v>
      </x:c>
      <x:c r="F134" s="22" t="str">
        <x:v>Y</x:v>
      </x:c>
      <x:c r="G134" s="22" t="str">
        <x:v>Product Manager</x:v>
      </x:c>
      <x:c r="H134" s="22" t="str">
        <x:v>AI assist</x:v>
      </x:c>
      <x:c r="I134" s="22" t="str">
        <x:v>PriceLevel</x:v>
      </x:c>
    </x:row>
    <x:row r="135">
      <x:c r="A135" s="22" t="str">
        <x:v>N Commercial</x:v>
      </x:c>
      <x:c r="B135" s="22" t="str">
        <x:v>margin_level</x:v>
      </x:c>
      <x:c r="C135" s="22" t="str">
        <x:v>Margin Level</x:v>
      </x:c>
      <x:c r="D135" s="22" t="str">
        <x:v>利润等级</x:v>
      </x:c>
      <x:c r="E135" s="22" t="str">
        <x:v>String</x:v>
      </x:c>
      <x:c r="F135" s="22" t="str">
        <x:v>N</x:v>
      </x:c>
      <x:c r="G135" s="22" t="str">
        <x:v>Finance/Sales</x:v>
      </x:c>
      <x:c r="H135" s="22" t="str">
        <x:v>No</x:v>
      </x:c>
      <x:c r="I135" s="22" t="str"/>
    </x:row>
    <x:row r="136">
      <x:c r="A136" s="22" t="str">
        <x:v>N Commercial</x:v>
      </x:c>
      <x:c r="B136" s="22" t="str">
        <x:v>moq</x:v>
      </x:c>
      <x:c r="C136" s="22" t="str">
        <x:v>MOQ</x:v>
      </x:c>
      <x:c r="D136" s="22" t="str">
        <x:v>起订量</x:v>
      </x:c>
      <x:c r="E136" s="22" t="str">
        <x:v>Number</x:v>
      </x:c>
      <x:c r="F136" s="22" t="str">
        <x:v>Y</x:v>
      </x:c>
      <x:c r="G136" s="22" t="str">
        <x:v>Sales/Product</x:v>
      </x:c>
      <x:c r="H136" s="22" t="str">
        <x:v>No</x:v>
      </x:c>
      <x:c r="I136" s="22" t="str"/>
    </x:row>
    <x:row r="137">
      <x:c r="A137" s="22" t="str">
        <x:v>N Commercial</x:v>
      </x:c>
      <x:c r="B137" s="22" t="str">
        <x:v>sample_price</x:v>
      </x:c>
      <x:c r="C137" s="22" t="str">
        <x:v>Sample Price</x:v>
      </x:c>
      <x:c r="D137" s="22" t="str">
        <x:v>样品价格</x:v>
      </x:c>
      <x:c r="E137" s="22" t="str">
        <x:v>Currency</x:v>
      </x:c>
      <x:c r="F137" s="22" t="str">
        <x:v>N</x:v>
      </x:c>
      <x:c r="G137" s="22" t="str">
        <x:v>Sales/Product</x:v>
      </x:c>
      <x:c r="H137" s="22" t="str">
        <x:v>No</x:v>
      </x:c>
      <x:c r="I137" s="22" t="str"/>
    </x:row>
    <x:row r="138">
      <x:c r="A138" s="22" t="str">
        <x:v>N Commercial</x:v>
      </x:c>
      <x:c r="B138" s="22" t="str">
        <x:v>lead_time</x:v>
      </x:c>
      <x:c r="C138" s="22" t="str">
        <x:v>Lead Time</x:v>
      </x:c>
      <x:c r="D138" s="22" t="str">
        <x:v>交期</x:v>
      </x:c>
      <x:c r="E138" s="22" t="str">
        <x:v>String</x:v>
      </x:c>
      <x:c r="F138" s="22" t="str">
        <x:v>Y</x:v>
      </x:c>
      <x:c r="G138" s="22" t="str">
        <x:v>Production</x:v>
      </x:c>
      <x:c r="H138" s="22" t="str">
        <x:v>No</x:v>
      </x:c>
      <x:c r="I138" s="22" t="str"/>
    </x:row>
    <x:row r="139">
      <x:c r="A139" s="22" t="str">
        <x:v>N Commercial</x:v>
      </x:c>
      <x:c r="B139" s="22" t="str">
        <x:v>production_capacity</x:v>
      </x:c>
      <x:c r="C139" s="22" t="str">
        <x:v>Production Capacity</x:v>
      </x:c>
      <x:c r="D139" s="22" t="str">
        <x:v>产能</x:v>
      </x:c>
      <x:c r="E139" s="22" t="str">
        <x:v>String</x:v>
      </x:c>
      <x:c r="F139" s="22" t="str">
        <x:v>N</x:v>
      </x:c>
      <x:c r="G139" s="22" t="str">
        <x:v>Production</x:v>
      </x:c>
      <x:c r="H139" s="22" t="str">
        <x:v>No</x:v>
      </x:c>
      <x:c r="I139" s="22" t="str"/>
    </x:row>
    <x:row r="140">
      <x:c r="A140" s="22" t="str">
        <x:v>N Commercial</x:v>
      </x:c>
      <x:c r="B140" s="22" t="str">
        <x:v>stock_status</x:v>
      </x:c>
      <x:c r="C140" s="22" t="str">
        <x:v>Stock Status</x:v>
      </x:c>
      <x:c r="D140" s="22" t="str">
        <x:v>库存状态</x:v>
      </x:c>
      <x:c r="E140" s="22" t="str">
        <x:v>String</x:v>
      </x:c>
      <x:c r="F140" s="22" t="str">
        <x:v>N</x:v>
      </x:c>
      <x:c r="G140" s="22" t="str">
        <x:v>Operations</x:v>
      </x:c>
      <x:c r="H140" s="22" t="str">
        <x:v>No</x:v>
      </x:c>
      <x:c r="I140" s="22" t="str"/>
    </x:row>
    <x:row r="141">
      <x:c r="A141" s="22" t="str">
        <x:v>O Market</x:v>
      </x:c>
      <x:c r="B141" s="22" t="str">
        <x:v>target_market</x:v>
      </x:c>
      <x:c r="C141" s="22" t="str">
        <x:v>Target Market</x:v>
      </x:c>
      <x:c r="D141" s="22" t="str">
        <x:v>目标市场</x:v>
      </x:c>
      <x:c r="E141" s="22" t="str">
        <x:v>Multi-select</x:v>
      </x:c>
      <x:c r="F141" s="22" t="str">
        <x:v>Y</x:v>
      </x:c>
      <x:c r="G141" s="22" t="str">
        <x:v>Product Manager</x:v>
      </x:c>
      <x:c r="H141" s="22" t="str">
        <x:v>AI assist</x:v>
      </x:c>
      <x:c r="I141" s="22" t="str">
        <x:v>TargetMarket</x:v>
      </x:c>
    </x:row>
    <x:row r="142">
      <x:c r="A142" s="22" t="str">
        <x:v>O Market</x:v>
      </x:c>
      <x:c r="B142" s="22" t="str">
        <x:v>market_priority</x:v>
      </x:c>
      <x:c r="C142" s="22" t="str">
        <x:v>Market Priority</x:v>
      </x:c>
      <x:c r="D142" s="22" t="str">
        <x:v>市场优先级</x:v>
      </x:c>
      <x:c r="E142" s="22" t="str">
        <x:v>String</x:v>
      </x:c>
      <x:c r="F142" s="22" t="str">
        <x:v>N</x:v>
      </x:c>
      <x:c r="G142" s="22" t="str">
        <x:v>Product Manager</x:v>
      </x:c>
      <x:c r="H142" s="22" t="str">
        <x:v>AI assist</x:v>
      </x:c>
      <x:c r="I142" s="22" t="str"/>
    </x:row>
    <x:row r="143">
      <x:c r="A143" s="22" t="str">
        <x:v>O Market</x:v>
      </x:c>
      <x:c r="B143" s="22" t="str">
        <x:v>market_fit</x:v>
      </x:c>
      <x:c r="C143" s="22" t="str">
        <x:v>Market Fit</x:v>
      </x:c>
      <x:c r="D143" s="22" t="str">
        <x:v>市场适配</x:v>
      </x:c>
      <x:c r="E143" s="22" t="str">
        <x:v>Number 1-100</x:v>
      </x:c>
      <x:c r="F143" s="22" t="str">
        <x:v>N</x:v>
      </x:c>
      <x:c r="G143" s="22" t="str">
        <x:v>Product Manager</x:v>
      </x:c>
      <x:c r="H143" s="22" t="str">
        <x:v>AI assist</x:v>
      </x:c>
      <x:c r="I143" s="22" t="str"/>
    </x:row>
    <x:row r="144">
      <x:c r="A144" s="22" t="str">
        <x:v>O Market</x:v>
      </x:c>
      <x:c r="B144" s="22" t="str">
        <x:v>market_status</x:v>
      </x:c>
      <x:c r="C144" s="22" t="str">
        <x:v>Market Status</x:v>
      </x:c>
      <x:c r="D144" s="22" t="str">
        <x:v>市场状态</x:v>
      </x:c>
      <x:c r="E144" s="22" t="str">
        <x:v>String</x:v>
      </x:c>
      <x:c r="F144" s="22" t="str">
        <x:v>N</x:v>
      </x:c>
      <x:c r="G144" s="22" t="str">
        <x:v>Product Manager</x:v>
      </x:c>
      <x:c r="H144" s="22" t="str">
        <x:v>No</x:v>
      </x:c>
      <x:c r="I144" s="22" t="str"/>
    </x:row>
    <x:row r="145">
      <x:c r="A145" s="22" t="str">
        <x:v>O Market</x:v>
      </x:c>
      <x:c r="B145" s="22" t="str">
        <x:v>market_demand</x:v>
      </x:c>
      <x:c r="C145" s="22" t="str">
        <x:v>Market Demand</x:v>
      </x:c>
      <x:c r="D145" s="22" t="str">
        <x:v>市场需求</x:v>
      </x:c>
      <x:c r="E145" s="22" t="str">
        <x:v>String</x:v>
      </x:c>
      <x:c r="F145" s="22" t="str">
        <x:v>N</x:v>
      </x:c>
      <x:c r="G145" s="22" t="str">
        <x:v>Research</x:v>
      </x:c>
      <x:c r="H145" s="22" t="str">
        <x:v>AI assist</x:v>
      </x:c>
      <x:c r="I145" s="22" t="str"/>
    </x:row>
    <x:row r="146">
      <x:c r="A146" s="22" t="str">
        <x:v>O Market</x:v>
      </x:c>
      <x:c r="B146" s="22" t="str">
        <x:v>market_trend</x:v>
      </x:c>
      <x:c r="C146" s="22" t="str">
        <x:v>Market Trend</x:v>
      </x:c>
      <x:c r="D146" s="22" t="str">
        <x:v>市场趋势</x:v>
      </x:c>
      <x:c r="E146" s="22" t="str">
        <x:v>String</x:v>
      </x:c>
      <x:c r="F146" s="22" t="str">
        <x:v>N</x:v>
      </x:c>
      <x:c r="G146" s="22" t="str">
        <x:v>Research</x:v>
      </x:c>
      <x:c r="H146" s="22" t="str">
        <x:v>AI assist</x:v>
      </x:c>
      <x:c r="I146" s="22" t="str"/>
    </x:row>
    <x:row r="147">
      <x:c r="A147" s="22" t="str">
        <x:v>O Market</x:v>
      </x:c>
      <x:c r="B147" s="22" t="str">
        <x:v>competitor_density</x:v>
      </x:c>
      <x:c r="C147" s="22" t="str">
        <x:v>Competitor Density</x:v>
      </x:c>
      <x:c r="D147" s="22" t="str">
        <x:v>竞品密度</x:v>
      </x:c>
      <x:c r="E147" s="22" t="str">
        <x:v>String</x:v>
      </x:c>
      <x:c r="F147" s="22" t="str">
        <x:v>N</x:v>
      </x:c>
      <x:c r="G147" s="22" t="str">
        <x:v>Research</x:v>
      </x:c>
      <x:c r="H147" s="22" t="str">
        <x:v>AI assist</x:v>
      </x:c>
      <x:c r="I147" s="22" t="str"/>
    </x:row>
    <x:row r="148">
      <x:c r="A148" s="22" t="str">
        <x:v>O Market</x:v>
      </x:c>
      <x:c r="B148" s="22" t="str">
        <x:v>market_opportunity</x:v>
      </x:c>
      <x:c r="C148" s="22" t="str">
        <x:v>Market Opportunity</x:v>
      </x:c>
      <x:c r="D148" s="22" t="str">
        <x:v>市场机会</x:v>
      </x:c>
      <x:c r="E148" s="22" t="str">
        <x:v>Number 1-100</x:v>
      </x:c>
      <x:c r="F148" s="22" t="str">
        <x:v>N</x:v>
      </x:c>
      <x:c r="G148" s="22" t="str">
        <x:v>Research</x:v>
      </x:c>
      <x:c r="H148" s="22" t="str">
        <x:v>AI assist</x:v>
      </x:c>
      <x:c r="I148" s="22" t="str"/>
    </x:row>
    <x:row r="149">
      <x:c r="A149" s="22" t="str">
        <x:v>P Brand</x:v>
      </x:c>
      <x:c r="B149" s="22" t="str">
        <x:v>brand_positioning</x:v>
      </x:c>
      <x:c r="C149" s="22" t="str">
        <x:v>Brand Positioning</x:v>
      </x:c>
      <x:c r="D149" s="22" t="str">
        <x:v>品牌定位</x:v>
      </x:c>
      <x:c r="E149" s="22" t="str">
        <x:v>String</x:v>
      </x:c>
      <x:c r="F149" s="22" t="str">
        <x:v>N</x:v>
      </x:c>
      <x:c r="G149" s="22" t="str">
        <x:v>Brand</x:v>
      </x:c>
      <x:c r="H149" s="22" t="str">
        <x:v>AI assist</x:v>
      </x:c>
      <x:c r="I149" s="22" t="str"/>
    </x:row>
    <x:row r="150">
      <x:c r="A150" s="22" t="str">
        <x:v>P Brand</x:v>
      </x:c>
      <x:c r="B150" s="22" t="str">
        <x:v>brand_level</x:v>
      </x:c>
      <x:c r="C150" s="22" t="str">
        <x:v>Brand Level</x:v>
      </x:c>
      <x:c r="D150" s="22" t="str">
        <x:v>品牌等级</x:v>
      </x:c>
      <x:c r="E150" s="22" t="str">
        <x:v>Enum</x:v>
      </x:c>
      <x:c r="F150" s="22" t="str">
        <x:v>N</x:v>
      </x:c>
      <x:c r="G150" s="22" t="str">
        <x:v>Brand</x:v>
      </x:c>
      <x:c r="H150" s="22" t="str">
        <x:v>AI assist</x:v>
      </x:c>
      <x:c r="I150" s="22" t="str">
        <x:v>PriceLevel</x:v>
      </x:c>
    </x:row>
    <x:row r="151">
      <x:c r="A151" s="22" t="str">
        <x:v>P Brand</x:v>
      </x:c>
      <x:c r="B151" s="22" t="str">
        <x:v>brand_style</x:v>
      </x:c>
      <x:c r="C151" s="22" t="str">
        <x:v>Brand Style</x:v>
      </x:c>
      <x:c r="D151" s="22" t="str">
        <x:v>品牌风格</x:v>
      </x:c>
      <x:c r="E151" s="22" t="str">
        <x:v>Multi-select</x:v>
      </x:c>
      <x:c r="F151" s="22" t="str">
        <x:v>N</x:v>
      </x:c>
      <x:c r="G151" s="22" t="str">
        <x:v>Brand</x:v>
      </x:c>
      <x:c r="H151" s="22" t="str">
        <x:v>AI vision</x:v>
      </x:c>
      <x:c r="I151" s="22" t="str">
        <x:v>DesignStyle</x:v>
      </x:c>
    </x:row>
    <x:row r="152">
      <x:c r="A152" s="22" t="str">
        <x:v>P Brand</x:v>
      </x:c>
      <x:c r="B152" s="22" t="str">
        <x:v>brand_story</x:v>
      </x:c>
      <x:c r="C152" s="22" t="str">
        <x:v>Brand Story</x:v>
      </x:c>
      <x:c r="D152" s="22" t="str">
        <x:v>品牌故事</x:v>
      </x:c>
      <x:c r="E152" s="22" t="str">
        <x:v>Long Text</x:v>
      </x:c>
      <x:c r="F152" s="22" t="str">
        <x:v>N</x:v>
      </x:c>
      <x:c r="G152" s="22" t="str">
        <x:v>Brand</x:v>
      </x:c>
      <x:c r="H152" s="22" t="str">
        <x:v>AI polish</x:v>
      </x:c>
      <x:c r="I152" s="22" t="str"/>
    </x:row>
    <x:row r="153">
      <x:c r="A153" s="22" t="str">
        <x:v>P Brand</x:v>
      </x:c>
      <x:c r="B153" s="22" t="str">
        <x:v>design_language</x:v>
      </x:c>
      <x:c r="C153" s="22" t="str">
        <x:v>Design Language</x:v>
      </x:c>
      <x:c r="D153" s="22" t="str">
        <x:v>设计语言</x:v>
      </x:c>
      <x:c r="E153" s="22" t="str">
        <x:v>Multi-select</x:v>
      </x:c>
      <x:c r="F153" s="22" t="str">
        <x:v>N</x:v>
      </x:c>
      <x:c r="G153" s="22" t="str">
        <x:v>Designer/Brand</x:v>
      </x:c>
      <x:c r="H153" s="22" t="str">
        <x:v>AI vision</x:v>
      </x:c>
      <x:c r="I153" s="22" t="str">
        <x:v>DesignStyle</x:v>
      </x:c>
    </x:row>
    <x:row r="154">
      <x:c r="A154" s="22" t="str">
        <x:v>P Brand</x:v>
      </x:c>
      <x:c r="B154" s="22" t="str">
        <x:v>brand_keywords</x:v>
      </x:c>
      <x:c r="C154" s="22" t="str">
        <x:v>Brand Keywords</x:v>
      </x:c>
      <x:c r="D154" s="22" t="str">
        <x:v>品牌关键词</x:v>
      </x:c>
      <x:c r="E154" s="22" t="str">
        <x:v>Multi-select</x:v>
      </x:c>
      <x:c r="F154" s="22" t="str">
        <x:v>N</x:v>
      </x:c>
      <x:c r="G154" s="22" t="str">
        <x:v>Brand</x:v>
      </x:c>
      <x:c r="H154" s="22" t="str">
        <x:v>AI assist</x:v>
      </x:c>
      <x:c r="I154" s="22" t="str"/>
    </x:row>
    <x:row r="155">
      <x:c r="A155" s="22" t="str">
        <x:v>Q OEM ODM</x:v>
      </x:c>
      <x:c r="B155" s="22" t="str">
        <x:v>oem_available</x:v>
      </x:c>
      <x:c r="C155" s="22" t="str">
        <x:v>OEM Available</x:v>
      </x:c>
      <x:c r="D155" s="22" t="str">
        <x:v>是否支持OEM</x:v>
      </x:c>
      <x:c r="E155" s="22" t="str">
        <x:v>Yes/No</x:v>
      </x:c>
      <x:c r="F155" s="22" t="str">
        <x:v>Y</x:v>
      </x:c>
      <x:c r="G155" s="22" t="str">
        <x:v>Product Manager</x:v>
      </x:c>
      <x:c r="H155" s="22" t="str">
        <x:v>No</x:v>
      </x:c>
      <x:c r="I155" s="22" t="str">
        <x:v>YesNo</x:v>
      </x:c>
    </x:row>
    <x:row r="156">
      <x:c r="A156" s="22" t="str">
        <x:v>Q OEM ODM</x:v>
      </x:c>
      <x:c r="B156" s="22" t="str">
        <x:v>odm_available</x:v>
      </x:c>
      <x:c r="C156" s="22" t="str">
        <x:v>ODM Available</x:v>
      </x:c>
      <x:c r="D156" s="22" t="str">
        <x:v>是否支持ODM</x:v>
      </x:c>
      <x:c r="E156" s="22" t="str">
        <x:v>Yes/No</x:v>
      </x:c>
      <x:c r="F156" s="22" t="str">
        <x:v>Y</x:v>
      </x:c>
      <x:c r="G156" s="22" t="str">
        <x:v>Product Manager</x:v>
      </x:c>
      <x:c r="H156" s="22" t="str">
        <x:v>No</x:v>
      </x:c>
      <x:c r="I156" s="22" t="str">
        <x:v>YesNo</x:v>
      </x:c>
    </x:row>
    <x:row r="157">
      <x:c r="A157" s="22" t="str">
        <x:v>Q OEM ODM</x:v>
      </x:c>
      <x:c r="B157" s="22" t="str">
        <x:v>logo_customization</x:v>
      </x:c>
      <x:c r="C157" s="22" t="str">
        <x:v>Logo Customization</x:v>
      </x:c>
      <x:c r="D157" s="22" t="str">
        <x:v>Logo定制</x:v>
      </x:c>
      <x:c r="E157" s="22" t="str">
        <x:v>Yes/No</x:v>
      </x:c>
      <x:c r="F157" s="22" t="str">
        <x:v>N</x:v>
      </x:c>
      <x:c r="G157" s="22" t="str">
        <x:v>Product Manager</x:v>
      </x:c>
      <x:c r="H157" s="22" t="str">
        <x:v>No</x:v>
      </x:c>
      <x:c r="I157" s="22" t="str">
        <x:v>YesNo</x:v>
      </x:c>
    </x:row>
    <x:row r="158">
      <x:c r="A158" s="22" t="str">
        <x:v>Q OEM ODM</x:v>
      </x:c>
      <x:c r="B158" s="22" t="str">
        <x:v>color_customization</x:v>
      </x:c>
      <x:c r="C158" s="22" t="str">
        <x:v>Color Customization</x:v>
      </x:c>
      <x:c r="D158" s="22" t="str">
        <x:v>颜色定制</x:v>
      </x:c>
      <x:c r="E158" s="22" t="str">
        <x:v>Yes/No</x:v>
      </x:c>
      <x:c r="F158" s="22" t="str">
        <x:v>N</x:v>
      </x:c>
      <x:c r="G158" s="22" t="str">
        <x:v>Product Manager</x:v>
      </x:c>
      <x:c r="H158" s="22" t="str">
        <x:v>No</x:v>
      </x:c>
      <x:c r="I158" s="22" t="str">
        <x:v>YesNo</x:v>
      </x:c>
    </x:row>
    <x:row r="159">
      <x:c r="A159" s="22" t="str">
        <x:v>Q OEM ODM</x:v>
      </x:c>
      <x:c r="B159" s="22" t="str">
        <x:v>material_customization</x:v>
      </x:c>
      <x:c r="C159" s="22" t="str">
        <x:v>Material Customization</x:v>
      </x:c>
      <x:c r="D159" s="22" t="str">
        <x:v>材料定制</x:v>
      </x:c>
      <x:c r="E159" s="22" t="str">
        <x:v>Yes/No</x:v>
      </x:c>
      <x:c r="F159" s="22" t="str">
        <x:v>N</x:v>
      </x:c>
      <x:c r="G159" s="22" t="str">
        <x:v>Product Manager</x:v>
      </x:c>
      <x:c r="H159" s="22" t="str">
        <x:v>No</x:v>
      </x:c>
      <x:c r="I159" s="22" t="str">
        <x:v>YesNo</x:v>
      </x:c>
    </x:row>
    <x:row r="160">
      <x:c r="A160" s="22" t="str">
        <x:v>Q OEM ODM</x:v>
      </x:c>
      <x:c r="B160" s="22" t="str">
        <x:v>packaging_customization</x:v>
      </x:c>
      <x:c r="C160" s="22" t="str">
        <x:v>Packaging Customization</x:v>
      </x:c>
      <x:c r="D160" s="22" t="str">
        <x:v>包装定制</x:v>
      </x:c>
      <x:c r="E160" s="22" t="str">
        <x:v>Yes/No</x:v>
      </x:c>
      <x:c r="F160" s="22" t="str">
        <x:v>N</x:v>
      </x:c>
      <x:c r="G160" s="22" t="str">
        <x:v>Product Manager</x:v>
      </x:c>
      <x:c r="H160" s="22" t="str">
        <x:v>No</x:v>
      </x:c>
      <x:c r="I160" s="22" t="str">
        <x:v>YesNo</x:v>
      </x:c>
    </x:row>
    <x:row r="161">
      <x:c r="A161" s="22" t="str">
        <x:v>Q OEM ODM</x:v>
      </x:c>
      <x:c r="B161" s="22" t="str">
        <x:v>function_customization</x:v>
      </x:c>
      <x:c r="C161" s="22" t="str">
        <x:v>Function Customization</x:v>
      </x:c>
      <x:c r="D161" s="22" t="str">
        <x:v>功能定制</x:v>
      </x:c>
      <x:c r="E161" s="22" t="str">
        <x:v>Yes/No</x:v>
      </x:c>
      <x:c r="F161" s="22" t="str">
        <x:v>N</x:v>
      </x:c>
      <x:c r="G161" s="22" t="str">
        <x:v>Product Manager</x:v>
      </x:c>
      <x:c r="H161" s="22" t="str">
        <x:v>No</x:v>
      </x:c>
      <x:c r="I161" s="22" t="str">
        <x:v>YesNo</x:v>
      </x:c>
    </x:row>
    <x:row r="162">
      <x:c r="A162" s="22" t="str">
        <x:v>Q OEM ODM</x:v>
      </x:c>
      <x:c r="B162" s="22" t="str">
        <x:v>mold_customization</x:v>
      </x:c>
      <x:c r="C162" s="22" t="str">
        <x:v>Mold Customization</x:v>
      </x:c>
      <x:c r="D162" s="22" t="str">
        <x:v>模具定制</x:v>
      </x:c>
      <x:c r="E162" s="22" t="str">
        <x:v>Yes/No</x:v>
      </x:c>
      <x:c r="F162" s="22" t="str">
        <x:v>N</x:v>
      </x:c>
      <x:c r="G162" s="22" t="str">
        <x:v>Product Manager</x:v>
      </x:c>
      <x:c r="H162" s="22" t="str">
        <x:v>No</x:v>
      </x:c>
      <x:c r="I162" s="22" t="str">
        <x:v>YesNo</x:v>
      </x:c>
    </x:row>
    <x:row r="163">
      <x:c r="A163" s="22" t="str">
        <x:v>Q OEM ODM</x:v>
      </x:c>
      <x:c r="B163" s="22" t="str">
        <x:v>app_customization</x:v>
      </x:c>
      <x:c r="C163" s="22" t="str">
        <x:v>App Customization</x:v>
      </x:c>
      <x:c r="D163" s="22" t="str">
        <x:v>APP定制</x:v>
      </x:c>
      <x:c r="E163" s="22" t="str">
        <x:v>Yes/No</x:v>
      </x:c>
      <x:c r="F163" s="22" t="str">
        <x:v>N</x:v>
      </x:c>
      <x:c r="G163" s="22" t="str">
        <x:v>Product Manager</x:v>
      </x:c>
      <x:c r="H163" s="22" t="str">
        <x:v>No</x:v>
      </x:c>
      <x:c r="I163" s="22" t="str">
        <x:v>YesNo</x:v>
      </x:c>
    </x:row>
    <x:row r="164">
      <x:c r="A164" s="22" t="str">
        <x:v>Q OEM ODM</x:v>
      </x:c>
      <x:c r="B164" s="22" t="str">
        <x:v>firmware_customization</x:v>
      </x:c>
      <x:c r="C164" s="22" t="str">
        <x:v>Firmware Customization</x:v>
      </x:c>
      <x:c r="D164" s="22" t="str">
        <x:v>固件定制</x:v>
      </x:c>
      <x:c r="E164" s="22" t="str">
        <x:v>Yes/No</x:v>
      </x:c>
      <x:c r="F164" s="22" t="str">
        <x:v>N</x:v>
      </x:c>
      <x:c r="G164" s="22" t="str">
        <x:v>Product Manager</x:v>
      </x:c>
      <x:c r="H164" s="22" t="str">
        <x:v>No</x:v>
      </x:c>
      <x:c r="I164" s="22" t="str">
        <x:v>YesNo</x:v>
      </x:c>
    </x:row>
    <x:row r="165">
      <x:c r="A165" s="22" t="str">
        <x:v>Q OEM ODM</x:v>
      </x:c>
      <x:c r="B165" s="22" t="str">
        <x:v>structure_customization</x:v>
      </x:c>
      <x:c r="C165" s="22" t="str">
        <x:v>Structure Customization</x:v>
      </x:c>
      <x:c r="D165" s="22" t="str">
        <x:v>结构定制</x:v>
      </x:c>
      <x:c r="E165" s="22" t="str">
        <x:v>Yes/No</x:v>
      </x:c>
      <x:c r="F165" s="22" t="str">
        <x:v>N</x:v>
      </x:c>
      <x:c r="G165" s="22" t="str">
        <x:v>Product Manager</x:v>
      </x:c>
      <x:c r="H165" s="22" t="str">
        <x:v>No</x:v>
      </x:c>
      <x:c r="I165" s="22" t="str">
        <x:v>YesNo</x:v>
      </x:c>
    </x:row>
    <x:row r="166">
      <x:c r="A166" s="22" t="str">
        <x:v>Q OEM ODM</x:v>
      </x:c>
      <x:c r="B166" s="22" t="str">
        <x:v>surface_customization</x:v>
      </x:c>
      <x:c r="C166" s="22" t="str">
        <x:v>Surface Customization</x:v>
      </x:c>
      <x:c r="D166" s="22" t="str">
        <x:v>外观定制</x:v>
      </x:c>
      <x:c r="E166" s="22" t="str">
        <x:v>Yes/No</x:v>
      </x:c>
      <x:c r="F166" s="22" t="str">
        <x:v>N</x:v>
      </x:c>
      <x:c r="G166" s="22" t="str">
        <x:v>Product Manager</x:v>
      </x:c>
      <x:c r="H166" s="22" t="str">
        <x:v>No</x:v>
      </x:c>
      <x:c r="I166" s="22" t="str">
        <x:v>YesNo</x:v>
      </x:c>
    </x:row>
    <x:row r="167">
      <x:c r="A167" s="22" t="str">
        <x:v>Q OEM ODM</x:v>
      </x:c>
      <x:c r="B167" s="22" t="str">
        <x:v>custom_moq</x:v>
      </x:c>
      <x:c r="C167" s="22" t="str">
        <x:v>Custom MOQ</x:v>
      </x:c>
      <x:c r="D167" s="22" t="str">
        <x:v>定制MOQ</x:v>
      </x:c>
      <x:c r="E167" s="22" t="str">
        <x:v>Number</x:v>
      </x:c>
      <x:c r="F167" s="22" t="str">
        <x:v>N</x:v>
      </x:c>
      <x:c r="G167" s="22" t="str">
        <x:v>Sales/Product</x:v>
      </x:c>
      <x:c r="H167" s="22" t="str">
        <x:v>No</x:v>
      </x:c>
      <x:c r="I167" s="22" t="str"/>
    </x:row>
    <x:row r="168">
      <x:c r="A168" s="22" t="str">
        <x:v>Q OEM ODM</x:v>
      </x:c>
      <x:c r="B168" s="22" t="str">
        <x:v>custom_lead_time</x:v>
      </x:c>
      <x:c r="C168" s="22" t="str">
        <x:v>Custom Lead Time</x:v>
      </x:c>
      <x:c r="D168" s="22" t="str">
        <x:v>定制交期</x:v>
      </x:c>
      <x:c r="E168" s="22" t="str">
        <x:v>String</x:v>
      </x:c>
      <x:c r="F168" s="22" t="str">
        <x:v>N</x:v>
      </x:c>
      <x:c r="G168" s="22" t="str">
        <x:v>Sales/Product</x:v>
      </x:c>
      <x:c r="H168" s="22" t="str">
        <x:v>No</x:v>
      </x:c>
      <x:c r="I168" s="22" t="str"/>
    </x:row>
    <x:row r="169">
      <x:c r="A169" s="22" t="str">
        <x:v>R Media</x:v>
      </x:c>
      <x:c r="B169" s="22" t="str">
        <x:v>hero_image_url</x:v>
      </x:c>
      <x:c r="C169" s="22" t="str">
        <x:v>Hero Image URL</x:v>
      </x:c>
      <x:c r="D169" s="22" t="str">
        <x:v>主图URL</x:v>
      </x:c>
      <x:c r="E169" s="22" t="str">
        <x:v>URL</x:v>
      </x:c>
      <x:c r="F169" s="22" t="str">
        <x:v>Y</x:v>
      </x:c>
      <x:c r="G169" s="22" t="str">
        <x:v>Media</x:v>
      </x:c>
      <x:c r="H169" s="22" t="str">
        <x:v>No</x:v>
      </x:c>
      <x:c r="I169" s="22" t="str"/>
    </x:row>
    <x:row r="170">
      <x:c r="A170" s="22" t="str">
        <x:v>R Media</x:v>
      </x:c>
      <x:c r="B170" s="22" t="str">
        <x:v>front_image_url</x:v>
      </x:c>
      <x:c r="C170" s="22" t="str">
        <x:v>Front Image URL</x:v>
      </x:c>
      <x:c r="D170" s="22" t="str">
        <x:v>正面图URL</x:v>
      </x:c>
      <x:c r="E170" s="22" t="str">
        <x:v>URL</x:v>
      </x:c>
      <x:c r="F170" s="22" t="str">
        <x:v>N</x:v>
      </x:c>
      <x:c r="G170" s="22" t="str">
        <x:v>Media</x:v>
      </x:c>
      <x:c r="H170" s="22" t="str">
        <x:v>No</x:v>
      </x:c>
      <x:c r="I170" s="22" t="str"/>
    </x:row>
    <x:row r="171">
      <x:c r="A171" s="22" t="str">
        <x:v>R Media</x:v>
      </x:c>
      <x:c r="B171" s="22" t="str">
        <x:v>side_image_url</x:v>
      </x:c>
      <x:c r="C171" s="22" t="str">
        <x:v>Side Image URL</x:v>
      </x:c>
      <x:c r="D171" s="22" t="str">
        <x:v>侧面图URL</x:v>
      </x:c>
      <x:c r="E171" s="22" t="str">
        <x:v>URL</x:v>
      </x:c>
      <x:c r="F171" s="22" t="str">
        <x:v>N</x:v>
      </x:c>
      <x:c r="G171" s="22" t="str">
        <x:v>Media</x:v>
      </x:c>
      <x:c r="H171" s="22" t="str">
        <x:v>No</x:v>
      </x:c>
      <x:c r="I171" s="22" t="str"/>
    </x:row>
    <x:row r="172">
      <x:c r="A172" s="22" t="str">
        <x:v>R Media</x:v>
      </x:c>
      <x:c r="B172" s="22" t="str">
        <x:v>detail_image_url</x:v>
      </x:c>
      <x:c r="C172" s="22" t="str">
        <x:v>Detail Image URL</x:v>
      </x:c>
      <x:c r="D172" s="22" t="str">
        <x:v>细节图URL</x:v>
      </x:c>
      <x:c r="E172" s="22" t="str">
        <x:v>URL</x:v>
      </x:c>
      <x:c r="F172" s="22" t="str">
        <x:v>N</x:v>
      </x:c>
      <x:c r="G172" s="22" t="str">
        <x:v>Media</x:v>
      </x:c>
      <x:c r="H172" s="22" t="str">
        <x:v>No</x:v>
      </x:c>
      <x:c r="I172" s="22" t="str"/>
    </x:row>
    <x:row r="173">
      <x:c r="A173" s="22" t="str">
        <x:v>R Media</x:v>
      </x:c>
      <x:c r="B173" s="22" t="str">
        <x:v>packaging_image_url</x:v>
      </x:c>
      <x:c r="C173" s="22" t="str">
        <x:v>Packaging Image URL</x:v>
      </x:c>
      <x:c r="D173" s="22" t="str">
        <x:v>包装图URL</x:v>
      </x:c>
      <x:c r="E173" s="22" t="str">
        <x:v>URL</x:v>
      </x:c>
      <x:c r="F173" s="22" t="str">
        <x:v>N</x:v>
      </x:c>
      <x:c r="G173" s="22" t="str">
        <x:v>Media</x:v>
      </x:c>
      <x:c r="H173" s="22" t="str">
        <x:v>No</x:v>
      </x:c>
      <x:c r="I173" s="22" t="str"/>
    </x:row>
    <x:row r="174">
      <x:c r="A174" s="22" t="str">
        <x:v>R Media</x:v>
      </x:c>
      <x:c r="B174" s="22" t="str">
        <x:v>lifestyle_image_url</x:v>
      </x:c>
      <x:c r="C174" s="22" t="str">
        <x:v>Lifestyle Image URL</x:v>
      </x:c>
      <x:c r="D174" s="22" t="str">
        <x:v>场景图URL</x:v>
      </x:c>
      <x:c r="E174" s="22" t="str">
        <x:v>URL</x:v>
      </x:c>
      <x:c r="F174" s="22" t="str">
        <x:v>N</x:v>
      </x:c>
      <x:c r="G174" s="22" t="str">
        <x:v>Media</x:v>
      </x:c>
      <x:c r="H174" s="22" t="str">
        <x:v>No</x:v>
      </x:c>
      <x:c r="I174" s="22" t="str"/>
    </x:row>
    <x:row r="175">
      <x:c r="A175" s="22" t="str">
        <x:v>R Media</x:v>
      </x:c>
      <x:c r="B175" s="22" t="str">
        <x:v>feature_image_url</x:v>
      </x:c>
      <x:c r="C175" s="22" t="str">
        <x:v>Feature Image URL</x:v>
      </x:c>
      <x:c r="D175" s="22" t="str">
        <x:v>卖点图URL</x:v>
      </x:c>
      <x:c r="E175" s="22" t="str">
        <x:v>URL</x:v>
      </x:c>
      <x:c r="F175" s="22" t="str">
        <x:v>N</x:v>
      </x:c>
      <x:c r="G175" s="22" t="str">
        <x:v>Media</x:v>
      </x:c>
      <x:c r="H175" s="22" t="str">
        <x:v>No</x:v>
      </x:c>
      <x:c r="I175" s="22" t="str"/>
    </x:row>
    <x:row r="176">
      <x:c r="A176" s="22" t="str">
        <x:v>R Media</x:v>
      </x:c>
      <x:c r="B176" s="22" t="str">
        <x:v>size_image_url</x:v>
      </x:c>
      <x:c r="C176" s="22" t="str">
        <x:v>Size Image URL</x:v>
      </x:c>
      <x:c r="D176" s="22" t="str">
        <x:v>尺寸图URL</x:v>
      </x:c>
      <x:c r="E176" s="22" t="str">
        <x:v>URL</x:v>
      </x:c>
      <x:c r="F176" s="22" t="str">
        <x:v>N</x:v>
      </x:c>
      <x:c r="G176" s="22" t="str">
        <x:v>Media</x:v>
      </x:c>
      <x:c r="H176" s="22" t="str">
        <x:v>No</x:v>
      </x:c>
      <x:c r="I176" s="22" t="str"/>
    </x:row>
    <x:row r="177">
      <x:c r="A177" s="22" t="str">
        <x:v>R Media</x:v>
      </x:c>
      <x:c r="B177" s="22" t="str">
        <x:v>instruction_image_url</x:v>
      </x:c>
      <x:c r="C177" s="22" t="str">
        <x:v>Instruction Image URL</x:v>
      </x:c>
      <x:c r="D177" s="22" t="str">
        <x:v>说明图URL</x:v>
      </x:c>
      <x:c r="E177" s="22" t="str">
        <x:v>URL</x:v>
      </x:c>
      <x:c r="F177" s="22" t="str">
        <x:v>N</x:v>
      </x:c>
      <x:c r="G177" s="22" t="str">
        <x:v>Media</x:v>
      </x:c>
      <x:c r="H177" s="22" t="str">
        <x:v>No</x:v>
      </x:c>
      <x:c r="I177" s="22" t="str"/>
    </x:row>
    <x:row r="178">
      <x:c r="A178" s="22" t="str">
        <x:v>R Media</x:v>
      </x:c>
      <x:c r="B178" s="22" t="str">
        <x:v>video_url</x:v>
      </x:c>
      <x:c r="C178" s="22" t="str">
        <x:v>Video URL</x:v>
      </x:c>
      <x:c r="D178" s="22" t="str">
        <x:v>产品视频URL</x:v>
      </x:c>
      <x:c r="E178" s="22" t="str">
        <x:v>URL</x:v>
      </x:c>
      <x:c r="F178" s="22" t="str">
        <x:v>N</x:v>
      </x:c>
      <x:c r="G178" s="22" t="str">
        <x:v>Media</x:v>
      </x:c>
      <x:c r="H178" s="22" t="str">
        <x:v>No</x:v>
      </x:c>
      <x:c r="I178" s="22" t="str"/>
    </x:row>
    <x:row r="179">
      <x:c r="A179" s="22" t="str">
        <x:v>R Media</x:v>
      </x:c>
      <x:c r="B179" s="22" t="str">
        <x:v>image_count</x:v>
      </x:c>
      <x:c r="C179" s="22" t="str">
        <x:v>Image Count</x:v>
      </x:c>
      <x:c r="D179" s="22" t="str">
        <x:v>图片数量</x:v>
      </x:c>
      <x:c r="E179" s="22" t="str">
        <x:v>Number</x:v>
      </x:c>
      <x:c r="F179" s="22" t="str">
        <x:v>N</x:v>
      </x:c>
      <x:c r="G179" s="22" t="str">
        <x:v>System</x:v>
      </x:c>
      <x:c r="H179" s="22" t="str">
        <x:v>No</x:v>
      </x:c>
      <x:c r="I179" s="22" t="str"/>
    </x:row>
    <x:row r="180">
      <x:c r="A180" s="22" t="str">
        <x:v>R Media</x:v>
      </x:c>
      <x:c r="B180" s="22" t="str">
        <x:v>media_quality</x:v>
      </x:c>
      <x:c r="C180" s="22" t="str">
        <x:v>Media Quality</x:v>
      </x:c>
      <x:c r="D180" s="22" t="str">
        <x:v>媒体质量</x:v>
      </x:c>
      <x:c r="E180" s="22" t="str">
        <x:v>Number 1-100</x:v>
      </x:c>
      <x:c r="F180" s="22" t="str">
        <x:v>N</x:v>
      </x:c>
      <x:c r="G180" s="22" t="str">
        <x:v>Media</x:v>
      </x:c>
      <x:c r="H180" s="22" t="str">
        <x:v>AI vision</x:v>
      </x:c>
      <x:c r="I180" s="22" t="str"/>
    </x:row>
    <x:row r="181">
      <x:c r="A181" s="22" t="str">
        <x:v>S AI Tags</x:v>
      </x:c>
      <x:c r="B181" s="22" t="str">
        <x:v>category_tags</x:v>
      </x:c>
      <x:c r="C181" s="22" t="str">
        <x:v>Category Tags</x:v>
      </x:c>
      <x:c r="D181" s="22" t="str">
        <x:v>品类标签</x:v>
      </x:c>
      <x:c r="E181" s="22" t="str">
        <x:v>Multi-select</x:v>
      </x:c>
      <x:c r="F181" s="22" t="str">
        <x:v>Y</x:v>
      </x:c>
      <x:c r="G181" s="22" t="str">
        <x:v>AI</x:v>
      </x:c>
      <x:c r="H181" s="22" t="str">
        <x:v>AI</x:v>
      </x:c>
      <x:c r="I181" s="22" t="str"/>
    </x:row>
    <x:row r="182">
      <x:c r="A182" s="22" t="str">
        <x:v>S AI Tags</x:v>
      </x:c>
      <x:c r="B182" s="22" t="str">
        <x:v>function_tags</x:v>
      </x:c>
      <x:c r="C182" s="22" t="str">
        <x:v>Function Tags</x:v>
      </x:c>
      <x:c r="D182" s="22" t="str">
        <x:v>功能标签</x:v>
      </x:c>
      <x:c r="E182" s="22" t="str">
        <x:v>Multi-select</x:v>
      </x:c>
      <x:c r="F182" s="22" t="str">
        <x:v>Y</x:v>
      </x:c>
      <x:c r="G182" s="22" t="str">
        <x:v>AI</x:v>
      </x:c>
      <x:c r="H182" s="22" t="str">
        <x:v>AI</x:v>
      </x:c>
      <x:c r="I182" s="22" t="str"/>
    </x:row>
    <x:row r="183">
      <x:c r="A183" s="22" t="str">
        <x:v>S AI Tags</x:v>
      </x:c>
      <x:c r="B183" s="22" t="str">
        <x:v>audience_tags</x:v>
      </x:c>
      <x:c r="C183" s="22" t="str">
        <x:v>Audience Tags</x:v>
      </x:c>
      <x:c r="D183" s="22" t="str">
        <x:v>人群标签</x:v>
      </x:c>
      <x:c r="E183" s="22" t="str">
        <x:v>Multi-select</x:v>
      </x:c>
      <x:c r="F183" s="22" t="str">
        <x:v>Y</x:v>
      </x:c>
      <x:c r="G183" s="22" t="str">
        <x:v>AI</x:v>
      </x:c>
      <x:c r="H183" s="22" t="str">
        <x:v>AI</x:v>
      </x:c>
      <x:c r="I183" s="22" t="str"/>
    </x:row>
    <x:row r="184">
      <x:c r="A184" s="22" t="str">
        <x:v>S AI Tags</x:v>
      </x:c>
      <x:c r="B184" s="22" t="str">
        <x:v>style_tags</x:v>
      </x:c>
      <x:c r="C184" s="22" t="str">
        <x:v>Style Tags</x:v>
      </x:c>
      <x:c r="D184" s="22" t="str">
        <x:v>风格标签</x:v>
      </x:c>
      <x:c r="E184" s="22" t="str">
        <x:v>Multi-select</x:v>
      </x:c>
      <x:c r="F184" s="22" t="str">
        <x:v>Y</x:v>
      </x:c>
      <x:c r="G184" s="22" t="str">
        <x:v>AI</x:v>
      </x:c>
      <x:c r="H184" s="22" t="str">
        <x:v>AI</x:v>
      </x:c>
      <x:c r="I184" s="22" t="str"/>
    </x:row>
    <x:row r="185">
      <x:c r="A185" s="22" t="str">
        <x:v>S AI Tags</x:v>
      </x:c>
      <x:c r="B185" s="22" t="str">
        <x:v>scenario_tags</x:v>
      </x:c>
      <x:c r="C185" s="22" t="str">
        <x:v>Scenario Tags</x:v>
      </x:c>
      <x:c r="D185" s="22" t="str">
        <x:v>场景标签</x:v>
      </x:c>
      <x:c r="E185" s="22" t="str">
        <x:v>Multi-select</x:v>
      </x:c>
      <x:c r="F185" s="22" t="str">
        <x:v>Y</x:v>
      </x:c>
      <x:c r="G185" s="22" t="str">
        <x:v>AI</x:v>
      </x:c>
      <x:c r="H185" s="22" t="str">
        <x:v>AI</x:v>
      </x:c>
      <x:c r="I185" s="22" t="str"/>
    </x:row>
    <x:row r="186">
      <x:c r="A186" s="22" t="str">
        <x:v>S AI Tags</x:v>
      </x:c>
      <x:c r="B186" s="22" t="str">
        <x:v>market_tags</x:v>
      </x:c>
      <x:c r="C186" s="22" t="str">
        <x:v>Market Tags</x:v>
      </x:c>
      <x:c r="D186" s="22" t="str">
        <x:v>市场标签</x:v>
      </x:c>
      <x:c r="E186" s="22" t="str">
        <x:v>Multi-select</x:v>
      </x:c>
      <x:c r="F186" s="22" t="str">
        <x:v>Y</x:v>
      </x:c>
      <x:c r="G186" s="22" t="str">
        <x:v>AI</x:v>
      </x:c>
      <x:c r="H186" s="22" t="str">
        <x:v>AI</x:v>
      </x:c>
      <x:c r="I186" s="22" t="str"/>
    </x:row>
    <x:row r="187">
      <x:c r="A187" s="22" t="str">
        <x:v>S AI Tags</x:v>
      </x:c>
      <x:c r="B187" s="22" t="str">
        <x:v>price_tags</x:v>
      </x:c>
      <x:c r="C187" s="22" t="str">
        <x:v>Price Tags</x:v>
      </x:c>
      <x:c r="D187" s="22" t="str">
        <x:v>价格标签</x:v>
      </x:c>
      <x:c r="E187" s="22" t="str">
        <x:v>Multi-select</x:v>
      </x:c>
      <x:c r="F187" s="22" t="str">
        <x:v>Y</x:v>
      </x:c>
      <x:c r="G187" s="22" t="str">
        <x:v>AI</x:v>
      </x:c>
      <x:c r="H187" s="22" t="str">
        <x:v>AI</x:v>
      </x:c>
      <x:c r="I187" s="22" t="str"/>
    </x:row>
    <x:row r="188">
      <x:c r="A188" s="22" t="str">
        <x:v>S AI Tags</x:v>
      </x:c>
      <x:c r="B188" s="22" t="str">
        <x:v>opportunity_tags</x:v>
      </x:c>
      <x:c r="C188" s="22" t="str">
        <x:v>Opportunity Tags</x:v>
      </x:c>
      <x:c r="D188" s="22" t="str">
        <x:v>机会标签</x:v>
      </x:c>
      <x:c r="E188" s="22" t="str">
        <x:v>Multi-select</x:v>
      </x:c>
      <x:c r="F188" s="22" t="str">
        <x:v>N</x:v>
      </x:c>
      <x:c r="G188" s="22" t="str">
        <x:v>AI</x:v>
      </x:c>
      <x:c r="H188" s="22" t="str">
        <x:v>AI</x:v>
      </x:c>
      <x:c r="I188" s="22" t="str"/>
    </x:row>
    <x:row r="189">
      <x:c r="A189" s="22" t="str">
        <x:v>S AI Tags</x:v>
      </x:c>
      <x:c r="B189" s="22" t="str">
        <x:v>positioning_tags</x:v>
      </x:c>
      <x:c r="C189" s="22" t="str">
        <x:v>Positioning Tags</x:v>
      </x:c>
      <x:c r="D189" s="22" t="str">
        <x:v>产品定位标签</x:v>
      </x:c>
      <x:c r="E189" s="22" t="str">
        <x:v>Multi-select</x:v>
      </x:c>
      <x:c r="F189" s="22" t="str">
        <x:v>Y</x:v>
      </x:c>
      <x:c r="G189" s="22" t="str">
        <x:v>AI</x:v>
      </x:c>
      <x:c r="H189" s="22" t="str">
        <x:v>AI</x:v>
      </x:c>
      <x:c r="I189" s="22" t="str">
        <x:v>ProductPosition</x:v>
      </x:c>
    </x:row>
    <x:row r="190">
      <x:c r="A190" s="22" t="str">
        <x:v>T AI Scores</x:v>
      </x:c>
      <x:c r="B190" s="22" t="str">
        <x:v>data_completeness</x:v>
      </x:c>
      <x:c r="C190" s="22" t="str">
        <x:v>Data Completeness</x:v>
      </x:c>
      <x:c r="D190" s="22" t="str">
        <x:v>数据完整度</x:v>
      </x:c>
      <x:c r="E190" s="22" t="str">
        <x:v>Number 0-100</x:v>
      </x:c>
      <x:c r="F190" s="22" t="str">
        <x:v>Y</x:v>
      </x:c>
      <x:c r="G190" s="22" t="str">
        <x:v>System</x:v>
      </x:c>
      <x:c r="H190" s="22" t="str">
        <x:v>No</x:v>
      </x:c>
      <x:c r="I190" s="22" t="str"/>
    </x:row>
    <x:row r="191">
      <x:c r="A191" s="22" t="str">
        <x:v>T AI Scores</x:v>
      </x:c>
      <x:c r="B191" s="22" t="str">
        <x:v>product_quality_score</x:v>
      </x:c>
      <x:c r="C191" s="22" t="str">
        <x:v>Product Quality Score</x:v>
      </x:c>
      <x:c r="D191" s="22" t="str">
        <x:v>产品力评分</x:v>
      </x:c>
      <x:c r="E191" s="22" t="str">
        <x:v>Number 0-100</x:v>
      </x:c>
      <x:c r="F191" s="22" t="str">
        <x:v>N</x:v>
      </x:c>
      <x:c r="G191" s="22" t="str">
        <x:v>Product Manager</x:v>
      </x:c>
      <x:c r="H191" s="22" t="str">
        <x:v>AI assist</x:v>
      </x:c>
      <x:c r="I191" s="22" t="str"/>
    </x:row>
    <x:row r="192">
      <x:c r="A192" s="22" t="str">
        <x:v>T AI Scores</x:v>
      </x:c>
      <x:c r="B192" s="22" t="str">
        <x:v>design_value_score</x:v>
      </x:c>
      <x:c r="C192" s="22" t="str">
        <x:v>Design Value Score</x:v>
      </x:c>
      <x:c r="D192" s="22" t="str">
        <x:v>设计价值评分</x:v>
      </x:c>
      <x:c r="E192" s="22" t="str">
        <x:v>Number 0-100</x:v>
      </x:c>
      <x:c r="F192" s="22" t="str">
        <x:v>N</x:v>
      </x:c>
      <x:c r="G192" s="22" t="str">
        <x:v>Product/Design</x:v>
      </x:c>
      <x:c r="H192" s="22" t="str">
        <x:v>AI assist</x:v>
      </x:c>
      <x:c r="I192" s="22" t="str"/>
    </x:row>
    <x:row r="193">
      <x:c r="A193" s="22" t="str">
        <x:v>T AI Scores</x:v>
      </x:c>
      <x:c r="B193" s="22" t="str">
        <x:v>functional_diff_score</x:v>
      </x:c>
      <x:c r="C193" s="22" t="str">
        <x:v>Functional Differentiation Score</x:v>
      </x:c>
      <x:c r="D193" s="22" t="str">
        <x:v>功能差异化评分</x:v>
      </x:c>
      <x:c r="E193" s="22" t="str">
        <x:v>Number 0-100</x:v>
      </x:c>
      <x:c r="F193" s="22" t="str">
        <x:v>N</x:v>
      </x:c>
      <x:c r="G193" s="22" t="str">
        <x:v>Product Manager</x:v>
      </x:c>
      <x:c r="H193" s="22" t="str">
        <x:v>AI assist</x:v>
      </x:c>
      <x:c r="I193" s="22" t="str"/>
    </x:row>
    <x:row r="194">
      <x:c r="A194" s="22" t="str">
        <x:v>T AI Scores</x:v>
      </x:c>
      <x:c r="B194" s="22" t="str">
        <x:v>commercial_potential_score</x:v>
      </x:c>
      <x:c r="C194" s="22" t="str">
        <x:v>Commercial Potential Score</x:v>
      </x:c>
      <x:c r="D194" s="22" t="str">
        <x:v>商业潜力评分</x:v>
      </x:c>
      <x:c r="E194" s="22" t="str">
        <x:v>Number 0-100</x:v>
      </x:c>
      <x:c r="F194" s="22" t="str">
        <x:v>N</x:v>
      </x:c>
      <x:c r="G194" s="22" t="str">
        <x:v>Sales/Product</x:v>
      </x:c>
      <x:c r="H194" s="22" t="str">
        <x:v>AI assist</x:v>
      </x:c>
      <x:c r="I194" s="22" t="str"/>
    </x:row>
    <x:row r="195">
      <x:c r="A195" s="22" t="str">
        <x:v>T AI Scores</x:v>
      </x:c>
      <x:c r="B195" s="22" t="str">
        <x:v>market_adaptability_score</x:v>
      </x:c>
      <x:c r="C195" s="22" t="str">
        <x:v>Market Adaptability Score</x:v>
      </x:c>
      <x:c r="D195" s="22" t="str">
        <x:v>市场适配评分</x:v>
      </x:c>
      <x:c r="E195" s="22" t="str">
        <x:v>Number 0-100</x:v>
      </x:c>
      <x:c r="F195" s="22" t="str">
        <x:v>N</x:v>
      </x:c>
      <x:c r="G195" s="22" t="str">
        <x:v>Research/Product</x:v>
      </x:c>
      <x:c r="H195" s="22" t="str">
        <x:v>AI assist</x:v>
      </x:c>
      <x:c r="I195" s="22" t="str"/>
    </x:row>
    <x:row r="196">
      <x:c r="A196" s="22" t="str">
        <x:v>T AI Scores</x:v>
      </x:c>
      <x:c r="B196" s="22" t="str">
        <x:v>brand_value_score</x:v>
      </x:c>
      <x:c r="C196" s="22" t="str">
        <x:v>Brand Value Score</x:v>
      </x:c>
      <x:c r="D196" s="22" t="str">
        <x:v>品牌价值评分</x:v>
      </x:c>
      <x:c r="E196" s="22" t="str">
        <x:v>Number 0-100</x:v>
      </x:c>
      <x:c r="F196" s="22" t="str">
        <x:v>N</x:v>
      </x:c>
      <x:c r="G196" s="22" t="str">
        <x:v>Brand/Product</x:v>
      </x:c>
      <x:c r="H196" s="22" t="str">
        <x:v>AI assist</x:v>
      </x:c>
      <x:c r="I196" s="22" t="str"/>
    </x:row>
    <x:row r="197">
      <x:c r="A197" s="22" t="str">
        <x:v>T AI Scores</x:v>
      </x:c>
      <x:c r="B197" s="22" t="str">
        <x:v>product_intelligence_score</x:v>
      </x:c>
      <x:c r="C197" s="22" t="str">
        <x:v>Product Intelligence Score</x:v>
      </x:c>
      <x:c r="D197" s="22" t="str">
        <x:v>产品智能评分</x:v>
      </x:c>
      <x:c r="E197" s="22" t="str">
        <x:v>Formula</x:v>
      </x:c>
      <x:c r="F197" s="22" t="str">
        <x:v>Y</x:v>
      </x:c>
      <x:c r="G197" s="22" t="str">
        <x:v>System</x:v>
      </x:c>
      <x:c r="H197" s="22" t="str">
        <x:v>No</x:v>
      </x:c>
      <x:c r="I197" s="22" t="str"/>
    </x:row>
    <x:row r="198">
      <x:c r="A198" s="22" t="str">
        <x:v>T AI Scores</x:v>
      </x:c>
      <x:c r="B198" s="22" t="str">
        <x:v>strategic_value_score</x:v>
      </x:c>
      <x:c r="C198" s="22" t="str">
        <x:v>Strategic Value Score</x:v>
      </x:c>
      <x:c r="D198" s="22" t="str">
        <x:v>战略价值评分</x:v>
      </x:c>
      <x:c r="E198" s="22" t="str">
        <x:v>Number 0-100</x:v>
      </x:c>
      <x:c r="F198" s="22" t="str">
        <x:v>N</x:v>
      </x:c>
      <x:c r="G198" s="22" t="str">
        <x:v>Management/Product</x:v>
      </x:c>
      <x:c r="H198" s="22" t="str">
        <x:v>AI assist</x:v>
      </x:c>
      <x:c r="I198" s="22" t="str"/>
    </x:row>
    <x:row r="199">
      <x:c r="A199" s="22" t="str">
        <x:v>T AI Scores</x:v>
      </x:c>
      <x:c r="B199" s="22" t="str">
        <x:v>product_priority_score</x:v>
      </x:c>
      <x:c r="C199" s="22" t="str">
        <x:v>Product Priority Score</x:v>
      </x:c>
      <x:c r="D199" s="22" t="str">
        <x:v>产品优先级评分</x:v>
      </x:c>
      <x:c r="E199" s="22" t="str">
        <x:v>Formula</x:v>
      </x:c>
      <x:c r="F199" s="22" t="str">
        <x:v>Y</x:v>
      </x:c>
      <x:c r="G199" s="22" t="str">
        <x:v>System</x:v>
      </x:c>
      <x:c r="H199" s="22" t="str">
        <x:v>No</x:v>
      </x:c>
      <x:c r="I199" s="22" t="str"/>
    </x:row>
    <x:row r="200">
      <x:c r="A200" s="22" t="str">
        <x:v>U Sales Data</x:v>
      </x:c>
      <x:c r="B200" s="22" t="str">
        <x:v>view_count</x:v>
      </x:c>
      <x:c r="C200" s="22" t="str">
        <x:v>View Count</x:v>
      </x:c>
      <x:c r="D200" s="22" t="str">
        <x:v>浏览次数</x:v>
      </x:c>
      <x:c r="E200" s="22" t="str">
        <x:v>Number</x:v>
      </x:c>
      <x:c r="F200" s="22" t="str">
        <x:v>N</x:v>
      </x:c>
      <x:c r="G200" s="22" t="str">
        <x:v>System</x:v>
      </x:c>
      <x:c r="H200" s="22" t="str">
        <x:v>No</x:v>
      </x:c>
      <x:c r="I200" s="22" t="str"/>
    </x:row>
    <x:row r="201">
      <x:c r="A201" s="22" t="str">
        <x:v>U Sales Data</x:v>
      </x:c>
      <x:c r="B201" s="22" t="str">
        <x:v>recommend_count</x:v>
      </x:c>
      <x:c r="C201" s="22" t="str">
        <x:v>Recommend Count</x:v>
      </x:c>
      <x:c r="D201" s="22" t="str">
        <x:v>推荐次数</x:v>
      </x:c>
      <x:c r="E201" s="22" t="str">
        <x:v>Number</x:v>
      </x:c>
      <x:c r="F201" s="22" t="str">
        <x:v>N</x:v>
      </x:c>
      <x:c r="G201" s="22" t="str">
        <x:v>System</x:v>
      </x:c>
      <x:c r="H201" s="22" t="str">
        <x:v>No</x:v>
      </x:c>
      <x:c r="I201" s="22" t="str"/>
    </x:row>
    <x:row r="202">
      <x:c r="A202" s="22" t="str">
        <x:v>U Sales Data</x:v>
      </x:c>
      <x:c r="B202" s="22" t="str">
        <x:v>proposal_count</x:v>
      </x:c>
      <x:c r="C202" s="22" t="str">
        <x:v>Proposal Count</x:v>
      </x:c>
      <x:c r="D202" s="22" t="str">
        <x:v>Proposal次数</x:v>
      </x:c>
      <x:c r="E202" s="22" t="str">
        <x:v>Number</x:v>
      </x:c>
      <x:c r="F202" s="22" t="str">
        <x:v>N</x:v>
      </x:c>
      <x:c r="G202" s="22" t="str">
        <x:v>System</x:v>
      </x:c>
      <x:c r="H202" s="22" t="str">
        <x:v>No</x:v>
      </x:c>
      <x:c r="I202" s="22" t="str"/>
    </x:row>
    <x:row r="203">
      <x:c r="A203" s="22" t="str">
        <x:v>U Sales Data</x:v>
      </x:c>
      <x:c r="B203" s="22" t="str">
        <x:v>share_count</x:v>
      </x:c>
      <x:c r="C203" s="22" t="str">
        <x:v>Share Count</x:v>
      </x:c>
      <x:c r="D203" s="22" t="str">
        <x:v>分享次数</x:v>
      </x:c>
      <x:c r="E203" s="22" t="str">
        <x:v>Number</x:v>
      </x:c>
      <x:c r="F203" s="22" t="str">
        <x:v>N</x:v>
      </x:c>
      <x:c r="G203" s="22" t="str">
        <x:v>System</x:v>
      </x:c>
      <x:c r="H203" s="22" t="str">
        <x:v>No</x:v>
      </x:c>
      <x:c r="I203" s="22" t="str"/>
    </x:row>
    <x:row r="204">
      <x:c r="A204" s="22" t="str">
        <x:v>U Sales Data</x:v>
      </x:c>
      <x:c r="B204" s="22" t="str">
        <x:v>client_interest_count</x:v>
      </x:c>
      <x:c r="C204" s="22" t="str">
        <x:v>Client Interest Count</x:v>
      </x:c>
      <x:c r="D204" s="22" t="str">
        <x:v>客户兴趣次数</x:v>
      </x:c>
      <x:c r="E204" s="22" t="str">
        <x:v>Number</x:v>
      </x:c>
      <x:c r="F204" s="22" t="str">
        <x:v>N</x:v>
      </x:c>
      <x:c r="G204" s="22" t="str">
        <x:v>System</x:v>
      </x:c>
      <x:c r="H204" s="22" t="str">
        <x:v>No</x:v>
      </x:c>
      <x:c r="I204" s="22" t="str"/>
    </x:row>
    <x:row r="205">
      <x:c r="A205" s="22" t="str">
        <x:v>U Sales Data</x:v>
      </x:c>
      <x:c r="B205" s="22" t="str">
        <x:v>sample_request_count</x:v>
      </x:c>
      <x:c r="C205" s="22" t="str">
        <x:v>Sample Request Count</x:v>
      </x:c>
      <x:c r="D205" s="22" t="str">
        <x:v>样品申请次数</x:v>
      </x:c>
      <x:c r="E205" s="22" t="str">
        <x:v>Number</x:v>
      </x:c>
      <x:c r="F205" s="22" t="str">
        <x:v>N</x:v>
      </x:c>
      <x:c r="G205" s="22" t="str">
        <x:v>System</x:v>
      </x:c>
      <x:c r="H205" s="22" t="str">
        <x:v>No</x:v>
      </x:c>
      <x:c r="I205" s="22" t="str"/>
    </x:row>
    <x:row r="206">
      <x:c r="A206" s="22" t="str">
        <x:v>U Sales Data</x:v>
      </x:c>
      <x:c r="B206" s="22" t="str">
        <x:v>quotation_count</x:v>
      </x:c>
      <x:c r="C206" s="22" t="str">
        <x:v>Quotation Count</x:v>
      </x:c>
      <x:c r="D206" s="22" t="str">
        <x:v>报价次数</x:v>
      </x:c>
      <x:c r="E206" s="22" t="str">
        <x:v>Number</x:v>
      </x:c>
      <x:c r="F206" s="22" t="str">
        <x:v>N</x:v>
      </x:c>
      <x:c r="G206" s="22" t="str">
        <x:v>System</x:v>
      </x:c>
      <x:c r="H206" s="22" t="str">
        <x:v>No</x:v>
      </x:c>
      <x:c r="I206" s="22" t="str"/>
    </x:row>
    <x:row r="207">
      <x:c r="A207" s="22" t="str">
        <x:v>U Sales Data</x:v>
      </x:c>
      <x:c r="B207" s="22" t="str">
        <x:v>order_count</x:v>
      </x:c>
      <x:c r="C207" s="22" t="str">
        <x:v>Order Count</x:v>
      </x:c>
      <x:c r="D207" s="22" t="str">
        <x:v>订单次数</x:v>
      </x:c>
      <x:c r="E207" s="22" t="str">
        <x:v>Number</x:v>
      </x:c>
      <x:c r="F207" s="22" t="str">
        <x:v>N</x:v>
      </x:c>
      <x:c r="G207" s="22" t="str">
        <x:v>System</x:v>
      </x:c>
      <x:c r="H207" s="22" t="str">
        <x:v>No</x:v>
      </x:c>
      <x:c r="I207" s="22" t="str"/>
    </x:row>
    <x:row r="208">
      <x:c r="A208" s="22" t="str">
        <x:v>U Sales Data</x:v>
      </x:c>
      <x:c r="B208" s="22" t="str">
        <x:v>sales_amount</x:v>
      </x:c>
      <x:c r="C208" s="22" t="str">
        <x:v>Sales Amount</x:v>
      </x:c>
      <x:c r="D208" s="22" t="str">
        <x:v>销售金额</x:v>
      </x:c>
      <x:c r="E208" s="22" t="str">
        <x:v>Currency</x:v>
      </x:c>
      <x:c r="F208" s="22" t="str">
        <x:v>N</x:v>
      </x:c>
      <x:c r="G208" s="22" t="str">
        <x:v>System</x:v>
      </x:c>
      <x:c r="H208" s="22" t="str">
        <x:v>No</x:v>
      </x:c>
      <x:c r="I208" s="22" t="str"/>
    </x:row>
    <x:row r="209">
      <x:c r="A209" s="22" t="str">
        <x:v>U Sales Data</x:v>
      </x:c>
      <x:c r="B209" s="22" t="str">
        <x:v>conversion_rate</x:v>
      </x:c>
      <x:c r="C209" s="22" t="str">
        <x:v>Conversion Rate</x:v>
      </x:c>
      <x:c r="D209" s="22" t="str">
        <x:v>转化率</x:v>
      </x:c>
      <x:c r="E209" s="22" t="str">
        <x:v>Formula</x:v>
      </x:c>
      <x:c r="F209" s="22" t="str">
        <x:v>N</x:v>
      </x:c>
      <x:c r="G209" s="22" t="str">
        <x:v>System</x:v>
      </x:c>
      <x:c r="H209" s="22" t="str">
        <x:v>No</x:v>
      </x:c>
      <x:c r="I209" s="22" t="str"/>
    </x:row>
    <x:row r="210">
      <x:c r="A210" s="22" t="str">
        <x:v>V Compliance</x:v>
      </x:c>
      <x:c r="B210" s="22" t="str">
        <x:v>certification</x:v>
      </x:c>
      <x:c r="C210" s="22" t="str">
        <x:v>Certification</x:v>
      </x:c>
      <x:c r="D210" s="22" t="str">
        <x:v>认证</x:v>
      </x:c>
      <x:c r="E210" s="22" t="str">
        <x:v>String</x:v>
      </x:c>
      <x:c r="F210" s="22" t="str">
        <x:v>N</x:v>
      </x:c>
      <x:c r="G210" s="22" t="str">
        <x:v>Certified Document</x:v>
      </x:c>
      <x:c r="H210" s="22" t="str">
        <x:v>No</x:v>
      </x:c>
      <x:c r="I210" s="22" t="str"/>
    </x:row>
    <x:row r="211">
      <x:c r="A211" s="22" t="str">
        <x:v>V Compliance</x:v>
      </x:c>
      <x:c r="B211" s="22" t="str">
        <x:v>certificate_number</x:v>
      </x:c>
      <x:c r="C211" s="22" t="str">
        <x:v>Certificate Number</x:v>
      </x:c>
      <x:c r="D211" s="22" t="str">
        <x:v>证书编号</x:v>
      </x:c>
      <x:c r="E211" s="22" t="str">
        <x:v>String</x:v>
      </x:c>
      <x:c r="F211" s="22" t="str">
        <x:v>N</x:v>
      </x:c>
      <x:c r="G211" s="22" t="str">
        <x:v>Certified Document</x:v>
      </x:c>
      <x:c r="H211" s="22" t="str">
        <x:v>No</x:v>
      </x:c>
      <x:c r="I211" s="22" t="str"/>
    </x:row>
    <x:row r="212">
      <x:c r="A212" s="22" t="str">
        <x:v>V Compliance</x:v>
      </x:c>
      <x:c r="B212" s="22" t="str">
        <x:v>test_report</x:v>
      </x:c>
      <x:c r="C212" s="22" t="str">
        <x:v>Test Report</x:v>
      </x:c>
      <x:c r="D212" s="22" t="str">
        <x:v>测试报告</x:v>
      </x:c>
      <x:c r="E212" s="22" t="str">
        <x:v>URL</x:v>
      </x:c>
      <x:c r="F212" s="22" t="str">
        <x:v>N</x:v>
      </x:c>
      <x:c r="G212" s="22" t="str">
        <x:v>Certified Document</x:v>
      </x:c>
      <x:c r="H212" s="22" t="str">
        <x:v>No</x:v>
      </x:c>
      <x:c r="I212" s="22" t="str"/>
    </x:row>
    <x:row r="213">
      <x:c r="A213" s="22" t="str">
        <x:v>V Compliance</x:v>
      </x:c>
      <x:c r="B213" s="22" t="str">
        <x:v>material_certification_url</x:v>
      </x:c>
      <x:c r="C213" s="22" t="str">
        <x:v>Material Certification URL</x:v>
      </x:c>
      <x:c r="D213" s="22" t="str">
        <x:v>材料认证URL</x:v>
      </x:c>
      <x:c r="E213" s="22" t="str">
        <x:v>URL</x:v>
      </x:c>
      <x:c r="F213" s="22" t="str">
        <x:v>N</x:v>
      </x:c>
      <x:c r="G213" s="22" t="str">
        <x:v>Certified Document</x:v>
      </x:c>
      <x:c r="H213" s="22" t="str">
        <x:v>No</x:v>
      </x:c>
      <x:c r="I213" s="22" t="str"/>
    </x:row>
    <x:row r="214">
      <x:c r="A214" s="22" t="str">
        <x:v>V Compliance</x:v>
      </x:c>
      <x:c r="B214" s="22" t="str">
        <x:v>market_compliance</x:v>
      </x:c>
      <x:c r="C214" s="22" t="str">
        <x:v>Market Compliance</x:v>
      </x:c>
      <x:c r="D214" s="22" t="str">
        <x:v>市场合规</x:v>
      </x:c>
      <x:c r="E214" s="22" t="str">
        <x:v>Multi-select</x:v>
      </x:c>
      <x:c r="F214" s="22" t="str">
        <x:v>N</x:v>
      </x:c>
      <x:c r="G214" s="22" t="str">
        <x:v>Compliance</x:v>
      </x:c>
      <x:c r="H214" s="22" t="str">
        <x:v>No</x:v>
      </x:c>
      <x:c r="I214" s="22" t="str"/>
    </x:row>
    <x:row r="215">
      <x:c r="A215" s="22" t="str">
        <x:v>V Compliance</x:v>
      </x:c>
      <x:c r="B215" s="22" t="str">
        <x:v>warning</x:v>
      </x:c>
      <x:c r="C215" s="22" t="str">
        <x:v>Warning</x:v>
      </x:c>
      <x:c r="D215" s="22" t="str">
        <x:v>警告信息</x:v>
      </x:c>
      <x:c r="E215" s="22" t="str">
        <x:v>Long Text</x:v>
      </x:c>
      <x:c r="F215" s="22" t="str">
        <x:v>N</x:v>
      </x:c>
      <x:c r="G215" s="22" t="str">
        <x:v>Compliance</x:v>
      </x:c>
      <x:c r="H215" s="22" t="str">
        <x:v>No</x:v>
      </x:c>
      <x:c r="I215" s="22" t="str"/>
    </x:row>
    <x:row r="216">
      <x:c r="A216" s="22" t="str">
        <x:v>V Compliance</x:v>
      </x:c>
      <x:c r="B216" s="22" t="str">
        <x:v>usage_instruction</x:v>
      </x:c>
      <x:c r="C216" s="22" t="str">
        <x:v>Usage Instruction</x:v>
      </x:c>
      <x:c r="D216" s="22" t="str">
        <x:v>使用说明</x:v>
      </x:c>
      <x:c r="E216" s="22" t="str">
        <x:v>Long Text</x:v>
      </x:c>
      <x:c r="F216" s="22" t="str">
        <x:v>N</x:v>
      </x:c>
      <x:c r="G216" s="22" t="str">
        <x:v>Official Product Data</x:v>
      </x:c>
      <x:c r="H216" s="22" t="str">
        <x:v>No</x:v>
      </x:c>
      <x:c r="I216" s="22" t="str"/>
    </x:row>
    <x:row r="217">
      <x:c r="A217" s="22" t="str">
        <x:v>V Compliance</x:v>
      </x:c>
      <x:c r="B217" s="22" t="str">
        <x:v>age_requirement</x:v>
      </x:c>
      <x:c r="C217" s="22" t="str">
        <x:v>Age Requirement</x:v>
      </x:c>
      <x:c r="D217" s="22" t="str">
        <x:v>年龄要求</x:v>
      </x:c>
      <x:c r="E217" s="22" t="str">
        <x:v>String</x:v>
      </x:c>
      <x:c r="F217" s="22" t="str">
        <x:v>N</x:v>
      </x:c>
      <x:c r="G217" s="22" t="str">
        <x:v>Compliance</x:v>
      </x:c>
      <x:c r="H217" s="22" t="str">
        <x:v>No</x:v>
      </x:c>
      <x:c r="I217" s="22" t="str"/>
    </x:row>
    <x:row r="218">
      <x:c r="A218" s="22" t="str">
        <x:v>W Recommendation Intelligence</x:v>
      </x:c>
      <x:c r="B218" s="22" t="str">
        <x:v>recommended_customer_type</x:v>
      </x:c>
      <x:c r="C218" s="22" t="str">
        <x:v>Recommended Customer Type</x:v>
      </x:c>
      <x:c r="D218" s="22" t="str">
        <x:v>推荐客户类型</x:v>
      </x:c>
      <x:c r="E218" s="22" t="str">
        <x:v>Multi-select</x:v>
      </x:c>
      <x:c r="F218" s="22" t="str">
        <x:v>N</x:v>
      </x:c>
      <x:c r="G218" s="22" t="str">
        <x:v>AI</x:v>
      </x:c>
      <x:c r="H218" s="22" t="str">
        <x:v>AI</x:v>
      </x:c>
      <x:c r="I218" s="22" t="str"/>
    </x:row>
    <x:row r="219">
      <x:c r="A219" s="22" t="str">
        <x:v>W Recommendation Intelligence</x:v>
      </x:c>
      <x:c r="B219" s="22" t="str">
        <x:v>recommended_brand_style</x:v>
      </x:c>
      <x:c r="C219" s="22" t="str">
        <x:v>Recommended Brand Style</x:v>
      </x:c>
      <x:c r="D219" s="22" t="str">
        <x:v>推荐品牌风格</x:v>
      </x:c>
      <x:c r="E219" s="22" t="str">
        <x:v>Multi-select</x:v>
      </x:c>
      <x:c r="F219" s="22" t="str">
        <x:v>N</x:v>
      </x:c>
      <x:c r="G219" s="22" t="str">
        <x:v>AI</x:v>
      </x:c>
      <x:c r="H219" s="22" t="str">
        <x:v>AI</x:v>
      </x:c>
      <x:c r="I219" s="22" t="str"/>
    </x:row>
    <x:row r="220">
      <x:c r="A220" s="22" t="str">
        <x:v>W Recommendation Intelligence</x:v>
      </x:c>
      <x:c r="B220" s="22" t="str">
        <x:v>recommended_market</x:v>
      </x:c>
      <x:c r="C220" s="22" t="str">
        <x:v>Recommended Market</x:v>
      </x:c>
      <x:c r="D220" s="22" t="str">
        <x:v>推荐市场</x:v>
      </x:c>
      <x:c r="E220" s="22" t="str">
        <x:v>Multi-select</x:v>
      </x:c>
      <x:c r="F220" s="22" t="str">
        <x:v>N</x:v>
      </x:c>
      <x:c r="G220" s="22" t="str">
        <x:v>AI</x:v>
      </x:c>
      <x:c r="H220" s="22" t="str">
        <x:v>AI</x:v>
      </x:c>
      <x:c r="I220" s="22" t="str"/>
    </x:row>
    <x:row r="221">
      <x:c r="A221" s="22" t="str">
        <x:v>W Recommendation Intelligence</x:v>
      </x:c>
      <x:c r="B221" s="22" t="str">
        <x:v>recommended_price_segment</x:v>
      </x:c>
      <x:c r="C221" s="22" t="str">
        <x:v>Recommended Price Segment</x:v>
      </x:c>
      <x:c r="D221" s="22" t="str">
        <x:v>推荐价格段</x:v>
      </x:c>
      <x:c r="E221" s="22" t="str">
        <x:v>Enum</x:v>
      </x:c>
      <x:c r="F221" s="22" t="str">
        <x:v>N</x:v>
      </x:c>
      <x:c r="G221" s="22" t="str">
        <x:v>AI</x:v>
      </x:c>
      <x:c r="H221" s="22" t="str">
        <x:v>AI</x:v>
      </x:c>
      <x:c r="I221" s="22" t="str">
        <x:v>PriceLevel</x:v>
      </x:c>
    </x:row>
    <x:row r="222">
      <x:c r="A222" s="22" t="str">
        <x:v>W Recommendation Intelligence</x:v>
      </x:c>
      <x:c r="B222" s="22" t="str">
        <x:v>recommended_category</x:v>
      </x:c>
      <x:c r="C222" s="22" t="str">
        <x:v>Recommended Category</x:v>
      </x:c>
      <x:c r="D222" s="22" t="str">
        <x:v>推荐品类</x:v>
      </x:c>
      <x:c r="E222" s="22" t="str">
        <x:v>Multi-select</x:v>
      </x:c>
      <x:c r="F222" s="22" t="str">
        <x:v>N</x:v>
      </x:c>
      <x:c r="G222" s="22" t="str">
        <x:v>AI</x:v>
      </x:c>
      <x:c r="H222" s="22" t="str">
        <x:v>AI</x:v>
      </x:c>
      <x:c r="I222" s="22" t="str"/>
    </x:row>
    <x:row r="223">
      <x:c r="A223" s="22" t="str">
        <x:v>W Recommendation Intelligence</x:v>
      </x:c>
      <x:c r="B223" s="22" t="str">
        <x:v>recommended_product_gap</x:v>
      </x:c>
      <x:c r="C223" s="22" t="str">
        <x:v>Recommended Product Gap</x:v>
      </x:c>
      <x:c r="D223" s="22" t="str">
        <x:v>适合填补的产品空缺</x:v>
      </x:c>
      <x:c r="E223" s="22" t="str">
        <x:v>Long Text</x:v>
      </x:c>
      <x:c r="F223" s="22" t="str">
        <x:v>N</x:v>
      </x:c>
      <x:c r="G223" s="22" t="str">
        <x:v>AI</x:v>
      </x:c>
      <x:c r="H223" s="22" t="str">
        <x:v>AI</x:v>
      </x:c>
      <x:c r="I223" s="22" t="str"/>
    </x:row>
    <x:row r="224">
      <x:c r="A224" s="22" t="str">
        <x:v>W Recommendation Intelligence</x:v>
      </x:c>
      <x:c r="B224" s="22" t="str">
        <x:v>recommended_reason_cn</x:v>
      </x:c>
      <x:c r="C224" s="22" t="str">
        <x:v>Recommended Reason CN</x:v>
      </x:c>
      <x:c r="D224" s="22" t="str">
        <x:v>推荐理由中文</x:v>
      </x:c>
      <x:c r="E224" s="22" t="str">
        <x:v>Long Text</x:v>
      </x:c>
      <x:c r="F224" s="22" t="str">
        <x:v>N</x:v>
      </x:c>
      <x:c r="G224" s="22" t="str">
        <x:v>AI</x:v>
      </x:c>
      <x:c r="H224" s="22" t="str">
        <x:v>AI</x:v>
      </x:c>
      <x:c r="I224" s="22" t="str"/>
    </x:row>
    <x:row r="225">
      <x:c r="A225" s="22" t="str">
        <x:v>W Recommendation Intelligence</x:v>
      </x:c>
      <x:c r="B225" s="22" t="str">
        <x:v>recommended_reason_en</x:v>
      </x:c>
      <x:c r="C225" s="22" t="str">
        <x:v>Recommended Reason EN</x:v>
      </x:c>
      <x:c r="D225" s="22" t="str">
        <x:v>推荐理由英文</x:v>
      </x:c>
      <x:c r="E225" s="22" t="str">
        <x:v>Long Text</x:v>
      </x:c>
      <x:c r="F225" s="22" t="str">
        <x:v>N</x:v>
      </x:c>
      <x:c r="G225" s="22" t="str">
        <x:v>AI</x:v>
      </x:c>
      <x:c r="H225" s="22" t="str">
        <x:v>AI</x:v>
      </x:c>
      <x:c r="I225" s="22" t="str"/>
    </x:row>
    <x:row r="226">
      <x:c r="A226" s="22" t="str">
        <x:v>W Recommendation Intelligence</x:v>
      </x:c>
      <x:c r="B226" s="22" t="str">
        <x:v>recommended_scenario</x:v>
      </x:c>
      <x:c r="C226" s="22" t="str">
        <x:v>Recommended Scenario</x:v>
      </x:c>
      <x:c r="D226" s="22" t="str">
        <x:v>推荐场景</x:v>
      </x:c>
      <x:c r="E226" s="22" t="str">
        <x:v>Multi-select</x:v>
      </x:c>
      <x:c r="F226" s="22" t="str">
        <x:v>N</x:v>
      </x:c>
      <x:c r="G226" s="22" t="str">
        <x:v>AI</x:v>
      </x:c>
      <x:c r="H226" s="22" t="str">
        <x:v>AI</x:v>
      </x:c>
      <x:c r="I226" s="22" t="str"/>
    </x:row>
    <x:row r="227">
      <x:c r="A227" s="22" t="str">
        <x:v>W Recommendation Intelligence</x:v>
      </x:c>
      <x:c r="B227" s="22" t="str">
        <x:v>cross_sell_products</x:v>
      </x:c>
      <x:c r="C227" s="22" t="str">
        <x:v>Cross Sell Products</x:v>
      </x:c>
      <x:c r="D227" s="22" t="str">
        <x:v>交叉销售产品</x:v>
      </x:c>
      <x:c r="E227" s="22" t="str">
        <x:v>Multi-select</x:v>
      </x:c>
      <x:c r="F227" s="22" t="str">
        <x:v>N</x:v>
      </x:c>
      <x:c r="G227" s="22" t="str">
        <x:v>AI</x:v>
      </x:c>
      <x:c r="H227" s="22" t="str">
        <x:v>AI</x:v>
      </x:c>
      <x:c r="I227" s="22" t="str"/>
    </x:row>
    <x:row r="228">
      <x:c r="A228" s="22" t="str">
        <x:v>W Recommendation Intelligence</x:v>
      </x:c>
      <x:c r="B228" s="22" t="str">
        <x:v>upsell_products</x:v>
      </x:c>
      <x:c r="C228" s="22" t="str">
        <x:v>Upsell Products</x:v>
      </x:c>
      <x:c r="D228" s="22" t="str">
        <x:v>升级推荐产品</x:v>
      </x:c>
      <x:c r="E228" s="22" t="str">
        <x:v>Multi-select</x:v>
      </x:c>
      <x:c r="F228" s="22" t="str">
        <x:v>N</x:v>
      </x:c>
      <x:c r="G228" s="22" t="str">
        <x:v>AI</x:v>
      </x:c>
      <x:c r="H228" s="22" t="str">
        <x:v>AI</x:v>
      </x:c>
      <x:c r="I228" s="22" t="str"/>
    </x:row>
    <x:row r="229">
      <x:c r="A229" s="22" t="str">
        <x:v>W Recommendation Intelligence</x:v>
      </x:c>
      <x:c r="B229" s="22" t="str">
        <x:v>alternative_products</x:v>
      </x:c>
      <x:c r="C229" s="22" t="str">
        <x:v>Alternative Products</x:v>
      </x:c>
      <x:c r="D229" s="22" t="str">
        <x:v>替代产品</x:v>
      </x:c>
      <x:c r="E229" s="22" t="str">
        <x:v>Multi-select</x:v>
      </x:c>
      <x:c r="F229" s="22" t="str">
        <x:v>N</x:v>
      </x:c>
      <x:c r="G229" s="22" t="str">
        <x:v>AI</x:v>
      </x:c>
      <x:c r="H229" s="22" t="str">
        <x:v>AI</x:v>
      </x:c>
      <x:c r="I229" s="2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34" hidden="0" customWidth="1"/>
  </x:cols>
  <x:sheetData>
    <x:row r="1">
      <x:c r="A1" s="6" t="str">
        <x:v>Level</x:v>
      </x:c>
      <x:c r="B1" s="6" t="str">
        <x:v>English</x:v>
      </x:c>
      <x:c r="C1" s="6" t="str">
        <x:v>中文</x:v>
      </x:c>
      <x:c r="D1" s="6" t="str">
        <x:v>Code</x:v>
      </x:c>
    </x:row>
    <x:row r="2">
      <x:c r="A2" s="22" t="str">
        <x:v>L1</x:v>
      </x:c>
      <x:c r="B2" s="22" t="str">
        <x:v>Female</x:v>
      </x:c>
      <x:c r="C2" s="22" t="str">
        <x:v>女用</x:v>
      </x:c>
      <x:c r="D2" s="22" t="str">
        <x:v>FEMALE</x:v>
      </x:c>
    </x:row>
    <x:row r="3">
      <x:c r="A3" s="22" t="str">
        <x:v>L2</x:v>
      </x:c>
      <x:c r="B3" s="22" t="str">
        <x:v>Massagers</x:v>
      </x:c>
      <x:c r="C3" s="22" t="str">
        <x:v>Massagers</x:v>
      </x:c>
      <x:c r="D3" s="22" t="str">
        <x:v>FEMALE_MASSAGERS</x:v>
      </x:c>
    </x:row>
    <x:row r="4">
      <x:c r="A4" s="22" t="str">
        <x:v>L2</x:v>
      </x:c>
      <x:c r="B4" s="22" t="str">
        <x:v>Suction</x:v>
      </x:c>
      <x:c r="C4" s="22" t="str">
        <x:v>Suction</x:v>
      </x:c>
      <x:c r="D4" s="22" t="str">
        <x:v>FEMALE_SUCTION</x:v>
      </x:c>
    </x:row>
    <x:row r="5">
      <x:c r="A5" s="22" t="str">
        <x:v>L2</x:v>
      </x:c>
      <x:c r="B5" s="22" t="str">
        <x:v>Vibrators</x:v>
      </x:c>
      <x:c r="C5" s="22" t="str">
        <x:v>Vibrators</x:v>
      </x:c>
      <x:c r="D5" s="22" t="str">
        <x:v>FEMALE_VIBRATORS</x:v>
      </x:c>
    </x:row>
    <x:row r="6">
      <x:c r="A6" s="22" t="str">
        <x:v>L2</x:v>
      </x:c>
      <x:c r="B6" s="22" t="str">
        <x:v>Wearables</x:v>
      </x:c>
      <x:c r="C6" s="22" t="str">
        <x:v>Wearables</x:v>
      </x:c>
      <x:c r="D6" s="22" t="str">
        <x:v>FEMALE_WEARABLES</x:v>
      </x:c>
    </x:row>
    <x:row r="7">
      <x:c r="A7" s="22" t="str">
        <x:v>L2</x:v>
      </x:c>
      <x:c r="B7" s="22" t="str">
        <x:v>Insertable</x:v>
      </x:c>
      <x:c r="C7" s="22" t="str">
        <x:v>Insertable</x:v>
      </x:c>
      <x:c r="D7" s="22" t="str">
        <x:v>FEMALE_INSERTABLE</x:v>
      </x:c>
    </x:row>
    <x:row r="8">
      <x:c r="A8" s="22" t="str">
        <x:v>L2</x:v>
      </x:c>
      <x:c r="B8" s="22" t="str">
        <x:v>External</x:v>
      </x:c>
      <x:c r="C8" s="22" t="str">
        <x:v>External</x:v>
      </x:c>
      <x:c r="D8" s="22" t="str">
        <x:v>FEMALE_EXTERNAL</x:v>
      </x:c>
    </x:row>
    <x:row r="9">
      <x:c r="A9" s="22" t="str">
        <x:v>L2</x:v>
      </x:c>
      <x:c r="B9" s="22" t="str">
        <x:v>Multifunctional</x:v>
      </x:c>
      <x:c r="C9" s="22" t="str">
        <x:v>Multifunctional</x:v>
      </x:c>
      <x:c r="D9" s="22" t="str">
        <x:v>FEMALE_MULTIFUNCTIONAL</x:v>
      </x:c>
    </x:row>
    <x:row r="10">
      <x:c r="A10" s="22" t="str">
        <x:v>L2</x:v>
      </x:c>
      <x:c r="B10" s="22" t="str">
        <x:v>Smart Devices</x:v>
      </x:c>
      <x:c r="C10" s="22" t="str">
        <x:v>Smart Devices</x:v>
      </x:c>
      <x:c r="D10" s="22" t="str">
        <x:v>FEMALE_SMART_DEVICES</x:v>
      </x:c>
    </x:row>
    <x:row r="11">
      <x:c r="A11" s="22" t="str">
        <x:v>L2</x:v>
      </x:c>
      <x:c r="B11" s="22" t="str">
        <x:v>Accessories</x:v>
      </x:c>
      <x:c r="C11" s="22" t="str">
        <x:v>Accessories</x:v>
      </x:c>
      <x:c r="D11" s="22" t="str">
        <x:v>FEMALE_ACCESSORIES</x:v>
      </x:c>
    </x:row>
    <x:row r="12">
      <x:c r="A12" s="22" t="str">
        <x:v>L1</x:v>
      </x:c>
      <x:c r="B12" s="22" t="str">
        <x:v>Male</x:v>
      </x:c>
      <x:c r="C12" s="22" t="str">
        <x:v>男用</x:v>
      </x:c>
      <x:c r="D12" s="22" t="str">
        <x:v>MALE</x:v>
      </x:c>
    </x:row>
    <x:row r="13">
      <x:c r="A13" s="22" t="str">
        <x:v>L2</x:v>
      </x:c>
      <x:c r="B13" s="22" t="str">
        <x:v>Male Massagers</x:v>
      </x:c>
      <x:c r="C13" s="22" t="str">
        <x:v>Male Massagers</x:v>
      </x:c>
      <x:c r="D13" s="22" t="str">
        <x:v>MALE_MALE_MASSAGERS</x:v>
      </x:c>
    </x:row>
    <x:row r="14">
      <x:c r="A14" s="22" t="str">
        <x:v>L2</x:v>
      </x:c>
      <x:c r="B14" s="22" t="str">
        <x:v>Masturbators</x:v>
      </x:c>
      <x:c r="C14" s="22" t="str">
        <x:v>Masturbators</x:v>
      </x:c>
      <x:c r="D14" s="22" t="str">
        <x:v>MALE_MASTURBATORS</x:v>
      </x:c>
    </x:row>
    <x:row r="15">
      <x:c r="A15" s="22" t="str">
        <x:v>L2</x:v>
      </x:c>
      <x:c r="B15" s="22" t="str">
        <x:v>Rings</x:v>
      </x:c>
      <x:c r="C15" s="22" t="str">
        <x:v>Rings</x:v>
      </x:c>
      <x:c r="D15" s="22" t="str">
        <x:v>MALE_RINGS</x:v>
      </x:c>
    </x:row>
    <x:row r="16">
      <x:c r="A16" s="22" t="str">
        <x:v>L2</x:v>
      </x:c>
      <x:c r="B16" s="22" t="str">
        <x:v>Performance</x:v>
      </x:c>
      <x:c r="C16" s="22" t="str">
        <x:v>Performance</x:v>
      </x:c>
      <x:c r="D16" s="22" t="str">
        <x:v>MALE_PERFORMANCE</x:v>
      </x:c>
    </x:row>
    <x:row r="17">
      <x:c r="A17" s="22" t="str">
        <x:v>L2</x:v>
      </x:c>
      <x:c r="B17" s="22" t="str">
        <x:v>Prostate</x:v>
      </x:c>
      <x:c r="C17" s="22" t="str">
        <x:v>Prostate</x:v>
      </x:c>
      <x:c r="D17" s="22" t="str">
        <x:v>MALE_PROSTATE</x:v>
      </x:c>
    </x:row>
    <x:row r="18">
      <x:c r="A18" s="22" t="str">
        <x:v>L2</x:v>
      </x:c>
      <x:c r="B18" s="22" t="str">
        <x:v>Multifunctional</x:v>
      </x:c>
      <x:c r="C18" s="22" t="str">
        <x:v>Multifunctional</x:v>
      </x:c>
      <x:c r="D18" s="22" t="str">
        <x:v>MALE_MULTIFUNCTIONAL</x:v>
      </x:c>
    </x:row>
    <x:row r="19">
      <x:c r="A19" s="22" t="str">
        <x:v>L2</x:v>
      </x:c>
      <x:c r="B19" s="22" t="str">
        <x:v>Smart Devices</x:v>
      </x:c>
      <x:c r="C19" s="22" t="str">
        <x:v>Smart Devices</x:v>
      </x:c>
      <x:c r="D19" s="22" t="str">
        <x:v>MALE_SMART_DEVICES</x:v>
      </x:c>
    </x:row>
    <x:row r="20">
      <x:c r="A20" s="22" t="str">
        <x:v>L2</x:v>
      </x:c>
      <x:c r="B20" s="22" t="str">
        <x:v>Accessories</x:v>
      </x:c>
      <x:c r="C20" s="22" t="str">
        <x:v>Accessories</x:v>
      </x:c>
      <x:c r="D20" s="22" t="str">
        <x:v>MALE_ACCESSORIES</x:v>
      </x:c>
    </x:row>
    <x:row r="21">
      <x:c r="A21" s="22" t="str">
        <x:v>L1</x:v>
      </x:c>
      <x:c r="B21" s="22" t="str">
        <x:v>Couples</x:v>
      </x:c>
      <x:c r="C21" s="22" t="str">
        <x:v>夫妻</x:v>
      </x:c>
      <x:c r="D21" s="22" t="str">
        <x:v>COUPLES</x:v>
      </x:c>
    </x:row>
    <x:row r="22">
      <x:c r="A22" s="22" t="str">
        <x:v>L2</x:v>
      </x:c>
      <x:c r="B22" s="22" t="str">
        <x:v>Couple Play</x:v>
      </x:c>
      <x:c r="C22" s="22" t="str">
        <x:v>Couple Play</x:v>
      </x:c>
      <x:c r="D22" s="22" t="str">
        <x:v>COUPLES_COUPLE_PLAY</x:v>
      </x:c>
    </x:row>
    <x:row r="23">
      <x:c r="A23" s="22" t="str">
        <x:v>L2</x:v>
      </x:c>
      <x:c r="B23" s="22" t="str">
        <x:v>Couples Wearables</x:v>
      </x:c>
      <x:c r="C23" s="22" t="str">
        <x:v>Couples Wearables</x:v>
      </x:c>
      <x:c r="D23" s="22" t="str">
        <x:v>COUPLES_COUPLES_WEARABLES</x:v>
      </x:c>
    </x:row>
    <x:row r="24">
      <x:c r="A24" s="22" t="str">
        <x:v>L2</x:v>
      </x:c>
      <x:c r="B24" s="22" t="str">
        <x:v>Remote Play</x:v>
      </x:c>
      <x:c r="C24" s="22" t="str">
        <x:v>Remote Play</x:v>
      </x:c>
      <x:c r="D24" s="22" t="str">
        <x:v>COUPLES_REMOTE_PLAY</x:v>
      </x:c>
    </x:row>
    <x:row r="25">
      <x:c r="A25" s="22" t="str">
        <x:v>L2</x:v>
      </x:c>
      <x:c r="B25" s="22" t="str">
        <x:v>Couples Massagers</x:v>
      </x:c>
      <x:c r="C25" s="22" t="str">
        <x:v>Couples Massagers</x:v>
      </x:c>
      <x:c r="D25" s="22" t="str">
        <x:v>COUPLES_COUPLES_MASSAGERS</x:v>
      </x:c>
    </x:row>
    <x:row r="26">
      <x:c r="A26" s="22" t="str">
        <x:v>L2</x:v>
      </x:c>
      <x:c r="B26" s="22" t="str">
        <x:v>Couple Toys</x:v>
      </x:c>
      <x:c r="C26" s="22" t="str">
        <x:v>Couple Toys</x:v>
      </x:c>
      <x:c r="D26" s="22" t="str">
        <x:v>COUPLES_COUPLE_TOYS</x:v>
      </x:c>
    </x:row>
    <x:row r="27">
      <x:c r="A27" s="22" t="str">
        <x:v>L2</x:v>
      </x:c>
      <x:c r="B27" s="22" t="str">
        <x:v>Couple Games</x:v>
      </x:c>
      <x:c r="C27" s="22" t="str">
        <x:v>Couple Games</x:v>
      </x:c>
      <x:c r="D27" s="22" t="str">
        <x:v>COUPLES_COUPLE_GAMES</x:v>
      </x:c>
    </x:row>
    <x:row r="28">
      <x:c r="A28" s="22" t="str">
        <x:v>L2</x:v>
      </x:c>
      <x:c r="B28" s="22" t="str">
        <x:v>Gift Sets</x:v>
      </x:c>
      <x:c r="C28" s="22" t="str">
        <x:v>Gift Sets</x:v>
      </x:c>
      <x:c r="D28" s="22" t="str">
        <x:v>COUPLES_GIFT_SETS</x:v>
      </x:c>
    </x:row>
    <x:row r="29">
      <x:c r="A29" s="22" t="str">
        <x:v>L2</x:v>
      </x:c>
      <x:c r="B29" s="22" t="str">
        <x:v>Multifunctional</x:v>
      </x:c>
      <x:c r="C29" s="22" t="str">
        <x:v>Multifunctional</x:v>
      </x:c>
      <x:c r="D29" s="22" t="str">
        <x:v>COUPLES_MULTIFUNCTIONAL</x:v>
      </x:c>
    </x:row>
    <x:row r="30">
      <x:c r="A30" s="22" t="str">
        <x:v>L1</x:v>
      </x:c>
      <x:c r="B30" s="22" t="str">
        <x:v>BDSM</x:v>
      </x:c>
      <x:c r="C30" s="22" t="str">
        <x:v>BDSM</x:v>
      </x:c>
      <x:c r="D30" s="22" t="str">
        <x:v>BDSM</x:v>
      </x:c>
    </x:row>
    <x:row r="31">
      <x:c r="A31" s="22" t="str">
        <x:v>L2</x:v>
      </x:c>
      <x:c r="B31" s="22" t="str">
        <x:v>Blindfolds</x:v>
      </x:c>
      <x:c r="C31" s="22" t="str">
        <x:v>Blindfolds</x:v>
      </x:c>
      <x:c r="D31" s="22" t="str">
        <x:v>BDSM_BLINDFOLDS</x:v>
      </x:c>
    </x:row>
    <x:row r="32">
      <x:c r="A32" s="22" t="str">
        <x:v>L2</x:v>
      </x:c>
      <x:c r="B32" s="22" t="str">
        <x:v>Restraints</x:v>
      </x:c>
      <x:c r="C32" s="22" t="str">
        <x:v>Restraints</x:v>
      </x:c>
      <x:c r="D32" s="22" t="str">
        <x:v>BDSM_RESTRAINTS</x:v>
      </x:c>
    </x:row>
    <x:row r="33">
      <x:c r="A33" s="22" t="str">
        <x:v>L2</x:v>
      </x:c>
      <x:c r="B33" s="22" t="str">
        <x:v>Collars</x:v>
      </x:c>
      <x:c r="C33" s="22" t="str">
        <x:v>Collars</x:v>
      </x:c>
      <x:c r="D33" s="22" t="str">
        <x:v>BDSM_COLLARS</x:v>
      </x:c>
    </x:row>
    <x:row r="34">
      <x:c r="A34" s="22" t="str">
        <x:v>L2</x:v>
      </x:c>
      <x:c r="B34" s="22" t="str">
        <x:v>Roleplay</x:v>
      </x:c>
      <x:c r="C34" s="22" t="str">
        <x:v>Roleplay</x:v>
      </x:c>
      <x:c r="D34" s="22" t="str">
        <x:v>BDSM_ROLEPLAY</x:v>
      </x:c>
    </x:row>
    <x:row r="35">
      <x:c r="A35" s="22" t="str">
        <x:v>L2</x:v>
      </x:c>
      <x:c r="B35" s="22" t="str">
        <x:v>Sensory Play</x:v>
      </x:c>
      <x:c r="C35" s="22" t="str">
        <x:v>Sensory Play</x:v>
      </x:c>
      <x:c r="D35" s="22" t="str">
        <x:v>BDSM_SENSORY_PLAY</x:v>
      </x:c>
    </x:row>
    <x:row r="36">
      <x:c r="A36" s="22" t="str">
        <x:v>L2</x:v>
      </x:c>
      <x:c r="B36" s="22" t="str">
        <x:v>Control Products</x:v>
      </x:c>
      <x:c r="C36" s="22" t="str">
        <x:v>Control Products</x:v>
      </x:c>
      <x:c r="D36" s="22" t="str">
        <x:v>BDSM_CONTROL_PRODUCTS</x:v>
      </x:c>
    </x:row>
    <x:row r="37">
      <x:c r="A37" s="22" t="str">
        <x:v>L2</x:v>
      </x:c>
      <x:c r="B37" s="22" t="str">
        <x:v>BDSM Sets</x:v>
      </x:c>
      <x:c r="C37" s="22" t="str">
        <x:v>BDSM Sets</x:v>
      </x:c>
      <x:c r="D37" s="22" t="str">
        <x:v>BDSM_BDSM_SETS</x:v>
      </x:c>
    </x:row>
    <x:row r="38">
      <x:c r="A38" s="22" t="str">
        <x:v>L2</x:v>
      </x:c>
      <x:c r="B38" s="22" t="str">
        <x:v>Accessories</x:v>
      </x:c>
      <x:c r="C38" s="22" t="str">
        <x:v>Accessories</x:v>
      </x:c>
      <x:c r="D38" s="22" t="str">
        <x:v>BDSM_ACCESSORIES</x:v>
      </x:c>
    </x:row>
    <x:row r="39">
      <x:c r="A39" s="22" t="str">
        <x:v>L1</x:v>
      </x:c>
      <x:c r="B39" s="22" t="str">
        <x:v>Water-Based</x:v>
      </x:c>
      <x:c r="C39" s="22" t="str">
        <x:v>水剂</x:v>
      </x:c>
      <x:c r="D39" s="22" t="str">
        <x:v>WATER_BASED</x:v>
      </x:c>
    </x:row>
    <x:row r="40">
      <x:c r="A40" s="22" t="str">
        <x:v>L2</x:v>
      </x:c>
      <x:c r="B40" s="22" t="str">
        <x:v>Lubricants</x:v>
      </x:c>
      <x:c r="C40" s="22" t="str">
        <x:v>Lubricants</x:v>
      </x:c>
      <x:c r="D40" s="22" t="str">
        <x:v>WATER_BASED_LUBRICANTS</x:v>
      </x:c>
    </x:row>
    <x:row r="41">
      <x:c r="A41" s="22" t="str">
        <x:v>L2</x:v>
      </x:c>
      <x:c r="B41" s="22" t="str">
        <x:v>Feminine Care</x:v>
      </x:c>
      <x:c r="C41" s="22" t="str">
        <x:v>Feminine Care</x:v>
      </x:c>
      <x:c r="D41" s="22" t="str">
        <x:v>WATER_BASED_FEMININE_CARE</x:v>
      </x:c>
    </x:row>
    <x:row r="42">
      <x:c r="A42" s="22" t="str">
        <x:v>L2</x:v>
      </x:c>
      <x:c r="B42" s="22" t="str">
        <x:v>Intimate Cleansing</x:v>
      </x:c>
      <x:c r="C42" s="22" t="str">
        <x:v>Intimate Cleansing</x:v>
      </x:c>
      <x:c r="D42" s="22" t="str">
        <x:v>WATER_BASED_INTIMATE_CLEANSING</x:v>
      </x:c>
    </x:row>
    <x:row r="43">
      <x:c r="A43" s="22" t="str">
        <x:v>L2</x:v>
      </x:c>
      <x:c r="B43" s="22" t="str">
        <x:v>Applicator Products</x:v>
      </x:c>
      <x:c r="C43" s="22" t="str">
        <x:v>Applicator Products</x:v>
      </x:c>
      <x:c r="D43" s="22" t="str">
        <x:v>WATER_BASED_APPLICATOR_PRODUCTS</x:v>
      </x:c>
    </x:row>
    <x:row r="44">
      <x:c r="A44" s="22" t="str">
        <x:v>L2</x:v>
      </x:c>
      <x:c r="B44" s="22" t="str">
        <x:v>Massage Products</x:v>
      </x:c>
      <x:c r="C44" s="22" t="str">
        <x:v>Massage Products</x:v>
      </x:c>
      <x:c r="D44" s="22" t="str">
        <x:v>WATER_BASED_MASSAGE_PRODUCTS</x:v>
      </x:c>
    </x:row>
    <x:row r="45">
      <x:c r="A45" s="22" t="str">
        <x:v>L2</x:v>
      </x:c>
      <x:c r="B45" s="22" t="str">
        <x:v>Functional Liquids</x:v>
      </x:c>
      <x:c r="C45" s="22" t="str">
        <x:v>Functional Liquids</x:v>
      </x:c>
      <x:c r="D45" s="22" t="str">
        <x:v>WATER_BASED_FUNCTIONAL_LIQUIDS</x:v>
      </x:c>
    </x:row>
    <x:row r="46">
      <x:c r="A46" s="22" t="str">
        <x:v>L2</x:v>
      </x:c>
      <x:c r="B46" s="22" t="str">
        <x:v>Couples</x:v>
      </x:c>
      <x:c r="C46" s="22" t="str">
        <x:v>Couples</x:v>
      </x:c>
      <x:c r="D46" s="22" t="str">
        <x:v>WATER_BASED_COUPLES</x:v>
      </x:c>
    </x:row>
    <x:row r="47">
      <x:c r="A47" s="22" t="str">
        <x:v>L2</x:v>
      </x:c>
      <x:c r="B47" s="22" t="str">
        <x:v>Travel Size</x:v>
      </x:c>
      <x:c r="C47" s="22" t="str">
        <x:v>Travel Size</x:v>
      </x:c>
      <x:c r="D47" s="22" t="str">
        <x:v>WATER_BASED_TRAVEL_SIZE</x:v>
      </x:c>
    </x:row>
    <x:row r="48">
      <x:c r="A48" s="22" t="str">
        <x:v>L2</x:v>
      </x:c>
      <x:c r="B48" s="22" t="str">
        <x:v>Gift Sets</x:v>
      </x:c>
      <x:c r="C48" s="22" t="str">
        <x:v>Gift Sets</x:v>
      </x:c>
      <x:c r="D48" s="22" t="str">
        <x:v>WATER_BASED_GIFT_SETS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42" hidden="0" customWidth="1"/>
  </x:cols>
  <x:sheetData>
    <x:row r="1">
      <x:c r="A1" s="6" t="str">
        <x:v>Tag Group</x:v>
      </x:c>
      <x:c r="B1" s="6" t="str">
        <x:v>English</x:v>
      </x:c>
      <x:c r="C1" s="6" t="str">
        <x:v>中文</x:v>
      </x:c>
      <x:c r="D1" s="6" t="str">
        <x:v>Definition</x:v>
      </x:c>
    </x:row>
    <x:row r="2">
      <x:c r="A2" s="22" t="str">
        <x:v>Audience</x:v>
      </x:c>
      <x:c r="B2" s="22" t="str">
        <x:v>Female</x:v>
      </x:c>
      <x:c r="C2" s="22" t="str">
        <x:v>女用</x:v>
      </x:c>
      <x:c r="D2" s="22" t="str">
        <x:v>Core audience</x:v>
      </x:c>
    </x:row>
    <x:row r="3">
      <x:c r="A3" s="22" t="str">
        <x:v>Audience</x:v>
      </x:c>
      <x:c r="B3" s="22" t="str">
        <x:v>Male</x:v>
      </x:c>
      <x:c r="C3" s="22" t="str">
        <x:v>男用</x:v>
      </x:c>
      <x:c r="D3" s="22" t="str">
        <x:v>Core audience</x:v>
      </x:c>
    </x:row>
    <x:row r="4">
      <x:c r="A4" s="22" t="str">
        <x:v>Audience</x:v>
      </x:c>
      <x:c r="B4" s="22" t="str">
        <x:v>Couples</x:v>
      </x:c>
      <x:c r="C4" s="22" t="str">
        <x:v>夫妻</x:v>
      </x:c>
      <x:c r="D4" s="22" t="str">
        <x:v>Core audience</x:v>
      </x:c>
    </x:row>
    <x:row r="5">
      <x:c r="A5" s="22" t="str">
        <x:v>Audience</x:v>
      </x:c>
      <x:c r="B5" s="22" t="str">
        <x:v>Beginner</x:v>
      </x:c>
      <x:c r="C5" s="22" t="str">
        <x:v>新手</x:v>
      </x:c>
      <x:c r="D5" s="22" t="str">
        <x:v>Low learning curve</x:v>
      </x:c>
    </x:row>
    <x:row r="6">
      <x:c r="A6" s="22" t="str">
        <x:v>Audience</x:v>
      </x:c>
      <x:c r="B6" s="22" t="str">
        <x:v>Advanced</x:v>
      </x:c>
      <x:c r="C6" s="22" t="str">
        <x:v>进阶</x:v>
      </x:c>
      <x:c r="D6" s="22" t="str">
        <x:v>Advanced user</x:v>
      </x:c>
    </x:row>
    <x:row r="7">
      <x:c r="A7" s="22" t="str">
        <x:v>Audience</x:v>
      </x:c>
      <x:c r="B7" s="22" t="str">
        <x:v>Premium</x:v>
      </x:c>
      <x:c r="C7" s="22" t="str">
        <x:v>高端</x:v>
      </x:c>
      <x:c r="D7" s="22" t="str">
        <x:v>Premium buyer</x:v>
      </x:c>
    </x:row>
    <x:row r="8">
      <x:c r="A8" s="22" t="str">
        <x:v>Audience</x:v>
      </x:c>
      <x:c r="B8" s="22" t="str">
        <x:v>Mass Market</x:v>
      </x:c>
      <x:c r="C8" s="22" t="str">
        <x:v>大众</x:v>
      </x:c>
      <x:c r="D8" s="22" t="str">
        <x:v>Broad-market</x:v>
      </x:c>
    </x:row>
    <x:row r="9">
      <x:c r="A9" s="22" t="str">
        <x:v>Audience</x:v>
      </x:c>
      <x:c r="B9" s="22" t="str">
        <x:v>Wellness</x:v>
      </x:c>
      <x:c r="C9" s="22" t="str">
        <x:v>健康生活方式</x:v>
      </x:c>
      <x:c r="D9" s="22" t="str">
        <x:v>Wellness positioning</x:v>
      </x:c>
    </x:row>
    <x:row r="10">
      <x:c r="A10" s="22" t="str">
        <x:v>Style</x:v>
      </x:c>
      <x:c r="B10" s="22" t="str">
        <x:v>Minimal</x:v>
      </x:c>
      <x:c r="C10" s="22" t="str">
        <x:v>极简</x:v>
      </x:c>
      <x:c r="D10" s="22" t="str">
        <x:v>Clean visual language</x:v>
      </x:c>
    </x:row>
    <x:row r="11">
      <x:c r="A11" s="22" t="str">
        <x:v>Style</x:v>
      </x:c>
      <x:c r="B11" s="22" t="str">
        <x:v>Premium</x:v>
      </x:c>
      <x:c r="C11" s="22" t="str">
        <x:v>高端</x:v>
      </x:c>
      <x:c r="D11" s="22" t="str">
        <x:v>Premium perceived value</x:v>
      </x:c>
    </x:row>
    <x:row r="12">
      <x:c r="A12" s="22" t="str">
        <x:v>Style</x:v>
      </x:c>
      <x:c r="B12" s="22" t="str">
        <x:v>Luxury</x:v>
      </x:c>
      <x:c r="C12" s="22" t="str">
        <x:v>奢华</x:v>
      </x:c>
      <x:c r="D12" s="22" t="str">
        <x:v>Luxury</x:v>
      </x:c>
    </x:row>
    <x:row r="13">
      <x:c r="A13" s="22" t="str">
        <x:v>Style</x:v>
      </x:c>
      <x:c r="B13" s="22" t="str">
        <x:v>Feminine</x:v>
      </x:c>
      <x:c r="C13" s="22" t="str">
        <x:v>女性化</x:v>
      </x:c>
      <x:c r="D13" s="22" t="str">
        <x:v>Feminine aesthetic</x:v>
      </x:c>
    </x:row>
    <x:row r="14">
      <x:c r="A14" s="22" t="str">
        <x:v>Style</x:v>
      </x:c>
      <x:c r="B14" s="22" t="str">
        <x:v>Modern</x:v>
      </x:c>
      <x:c r="C14" s="22" t="str">
        <x:v>现代</x:v>
      </x:c>
      <x:c r="D14" s="22" t="str">
        <x:v>Modern</x:v>
      </x:c>
    </x:row>
    <x:row r="15">
      <x:c r="A15" s="22" t="str">
        <x:v>Style</x:v>
      </x:c>
      <x:c r="B15" s="22" t="str">
        <x:v>Technology</x:v>
      </x:c>
      <x:c r="C15" s="22" t="str">
        <x:v>科技</x:v>
      </x:c>
      <x:c r="D15" s="22" t="str">
        <x:v>Technology-led</x:v>
      </x:c>
    </x:row>
    <x:row r="16">
      <x:c r="A16" s="22" t="str">
        <x:v>Style</x:v>
      </x:c>
      <x:c r="B16" s="22" t="str">
        <x:v>Soft</x:v>
      </x:c>
      <x:c r="C16" s="22" t="str">
        <x:v>柔和</x:v>
      </x:c>
      <x:c r="D16" s="22" t="str">
        <x:v>Soft tactile</x:v>
      </x:c>
    </x:row>
    <x:row r="17">
      <x:c r="A17" s="22" t="str">
        <x:v>Style</x:v>
      </x:c>
      <x:c r="B17" s="22" t="str">
        <x:v>Cute</x:v>
      </x:c>
      <x:c r="C17" s="22" t="str">
        <x:v>可爱</x:v>
      </x:c>
      <x:c r="D17" s="22" t="str">
        <x:v>Cute/playful</x:v>
      </x:c>
    </x:row>
    <x:row r="18">
      <x:c r="A18" s="22" t="str">
        <x:v>Style</x:v>
      </x:c>
      <x:c r="B18" s="22" t="str">
        <x:v>Fashion</x:v>
      </x:c>
      <x:c r="C18" s="22" t="str">
        <x:v>时尚</x:v>
      </x:c>
      <x:c r="D18" s="22" t="str">
        <x:v>Fashion-led</x:v>
      </x:c>
    </x:row>
    <x:row r="19">
      <x:c r="A19" s="22" t="str">
        <x:v>Style</x:v>
      </x:c>
      <x:c r="B19" s="22" t="str">
        <x:v>Artistic</x:v>
      </x:c>
      <x:c r="C19" s="22" t="str">
        <x:v>艺术</x:v>
      </x:c>
      <x:c r="D19" s="22" t="str">
        <x:v>Art-driven</x:v>
      </x:c>
    </x:row>
    <x:row r="20">
      <x:c r="A20" s="22" t="str">
        <x:v>Style</x:v>
      </x:c>
      <x:c r="B20" s="22" t="str">
        <x:v>Discreet</x:v>
      </x:c>
      <x:c r="C20" s="22" t="str">
        <x:v>低调</x:v>
      </x:c>
      <x:c r="D20" s="22" t="str">
        <x:v>Discreet</x:v>
      </x:c>
    </x:row>
    <x:row r="21">
      <x:c r="A21" s="22" t="str">
        <x:v>Style</x:v>
      </x:c>
      <x:c r="B21" s="22" t="str">
        <x:v>Bold</x:v>
      </x:c>
      <x:c r="C21" s="22" t="str">
        <x:v>大胆</x:v>
      </x:c>
      <x:c r="D21" s="22" t="str">
        <x:v>Bold</x:v>
      </x:c>
    </x:row>
    <x:row r="22">
      <x:c r="A22" s="22" t="str">
        <x:v>Style</x:v>
      </x:c>
      <x:c r="B22" s="22" t="str">
        <x:v>Playful</x:v>
      </x:c>
      <x:c r="C22" s="22" t="str">
        <x:v>趣味</x:v>
      </x:c>
      <x:c r="D22" s="22" t="str">
        <x:v>Playful</x:v>
      </x:c>
    </x:row>
    <x:row r="23">
      <x:c r="A23" s="22" t="str">
        <x:v>Style</x:v>
      </x:c>
      <x:c r="B23" s="22" t="str">
        <x:v>Medical</x:v>
      </x:c>
      <x:c r="C23" s="22" t="str">
        <x:v>专业</x:v>
      </x:c>
      <x:c r="D23" s="22" t="str">
        <x:v>Professional</x:v>
      </x:c>
    </x:row>
    <x:row r="24">
      <x:c r="A24" s="22" t="str">
        <x:v>Style</x:v>
      </x:c>
      <x:c r="B24" s="22" t="str">
        <x:v>Wellness</x:v>
      </x:c>
      <x:c r="C24" s="22" t="str">
        <x:v>健康生活方式</x:v>
      </x:c>
      <x:c r="D24" s="22" t="str">
        <x:v>Wellness</x:v>
      </x:c>
    </x:row>
    <x:row r="25">
      <x:c r="A25" s="22" t="str">
        <x:v>Scenario</x:v>
      </x:c>
      <x:c r="B25" s="22" t="str">
        <x:v>Self Care</x:v>
      </x:c>
      <x:c r="C25" s="22" t="str">
        <x:v>自我护理</x:v>
      </x:c>
      <x:c r="D25" s="22" t="str">
        <x:v>Solo self-care</x:v>
      </x:c>
    </x:row>
    <x:row r="26">
      <x:c r="A26" s="22" t="str">
        <x:v>Scenario</x:v>
      </x:c>
      <x:c r="B26" s="22" t="str">
        <x:v>Solo</x:v>
      </x:c>
      <x:c r="C26" s="22" t="str">
        <x:v>单人</x:v>
      </x:c>
      <x:c r="D26" s="22" t="str">
        <x:v>Solo use</x:v>
      </x:c>
    </x:row>
    <x:row r="27">
      <x:c r="A27" s="22" t="str">
        <x:v>Scenario</x:v>
      </x:c>
      <x:c r="B27" s="22" t="str">
        <x:v>Couples</x:v>
      </x:c>
      <x:c r="C27" s="22" t="str">
        <x:v>夫妻</x:v>
      </x:c>
      <x:c r="D27" s="22" t="str">
        <x:v>Couple use</x:v>
      </x:c>
    </x:row>
    <x:row r="28">
      <x:c r="A28" s="22" t="str">
        <x:v>Scenario</x:v>
      </x:c>
      <x:c r="B28" s="22" t="str">
        <x:v>Bedroom</x:v>
      </x:c>
      <x:c r="C28" s="22" t="str">
        <x:v>卧室</x:v>
      </x:c>
      <x:c r="D28" s="22" t="str">
        <x:v>Bedroom</x:v>
      </x:c>
    </x:row>
    <x:row r="29">
      <x:c r="A29" s="22" t="str">
        <x:v>Scenario</x:v>
      </x:c>
      <x:c r="B29" s="22" t="str">
        <x:v>Travel</x:v>
      </x:c>
      <x:c r="C29" s="22" t="str">
        <x:v>旅行</x:v>
      </x:c>
      <x:c r="D29" s="22" t="str">
        <x:v>Travel</x:v>
      </x:c>
    </x:row>
    <x:row r="30">
      <x:c r="A30" s="22" t="str">
        <x:v>Scenario</x:v>
      </x:c>
      <x:c r="B30" s="22" t="str">
        <x:v>Gift</x:v>
      </x:c>
      <x:c r="C30" s="22" t="str">
        <x:v>礼赠</x:v>
      </x:c>
      <x:c r="D30" s="22" t="str">
        <x:v>Giftable</x:v>
      </x:c>
    </x:row>
    <x:row r="31">
      <x:c r="A31" s="22" t="str">
        <x:v>Scenario</x:v>
      </x:c>
      <x:c r="B31" s="22" t="str">
        <x:v>Date Night</x:v>
      </x:c>
      <x:c r="C31" s="22" t="str">
        <x:v>约会</x:v>
      </x:c>
      <x:c r="D31" s="22" t="str">
        <x:v>Date night</x:v>
      </x:c>
    </x:row>
    <x:row r="32">
      <x:c r="A32" s="22" t="str">
        <x:v>Scenario</x:v>
      </x:c>
      <x:c r="B32" s="22" t="str">
        <x:v>Long Distance</x:v>
      </x:c>
      <x:c r="C32" s="22" t="str">
        <x:v>异地关系</x:v>
      </x:c>
      <x:c r="D32" s="22" t="str">
        <x:v>Long-distance</x:v>
      </x:c>
    </x:row>
    <x:row r="33">
      <x:c r="A33" s="22" t="str">
        <x:v>Scenario</x:v>
      </x:c>
      <x:c r="B33" s="22" t="str">
        <x:v>Premium Lifestyle</x:v>
      </x:c>
      <x:c r="C33" s="22" t="str">
        <x:v>高端生活方式</x:v>
      </x:c>
      <x:c r="D33" s="22" t="str">
        <x:v>Lifestyle</x:v>
      </x:c>
    </x:row>
    <x:row r="34">
      <x:c r="A34" s="22" t="str">
        <x:v>Positioning</x:v>
      </x:c>
      <x:c r="B34" s="22" t="str">
        <x:v>Bestseller</x:v>
      </x:c>
      <x:c r="C34" s="22" t="str">
        <x:v>爆款</x:v>
      </x:c>
      <x:c r="D34" s="22" t="str">
        <x:v>Proven sales</x:v>
      </x:c>
    </x:row>
    <x:row r="35">
      <x:c r="A35" s="22" t="str">
        <x:v>Positioning</x:v>
      </x:c>
      <x:c r="B35" s="22" t="str">
        <x:v>New</x:v>
      </x:c>
      <x:c r="C35" s="22" t="str">
        <x:v>新品</x:v>
      </x:c>
      <x:c r="D35" s="22" t="str">
        <x:v>Newly launched</x:v>
      </x:c>
    </x:row>
    <x:row r="36">
      <x:c r="A36" s="22" t="str">
        <x:v>Positioning</x:v>
      </x:c>
      <x:c r="B36" s="22" t="str">
        <x:v>Hero Product</x:v>
      </x:c>
      <x:c r="C36" s="22" t="str">
        <x:v>核心产品</x:v>
      </x:c>
      <x:c r="D36" s="22" t="str">
        <x:v>Hero SKU</x:v>
      </x:c>
    </x:row>
    <x:row r="37">
      <x:c r="A37" s="22" t="str">
        <x:v>Positioning</x:v>
      </x:c>
      <x:c r="B37" s="22" t="str">
        <x:v>Entry Product</x:v>
      </x:c>
      <x:c r="C37" s="22" t="str">
        <x:v>引流产品</x:v>
      </x:c>
      <x:c r="D37" s="22" t="str">
        <x:v>Entry</x:v>
      </x:c>
    </x:row>
    <x:row r="38">
      <x:c r="A38" s="22" t="str">
        <x:v>Positioning</x:v>
      </x:c>
      <x:c r="B38" s="22" t="str">
        <x:v>Premium Product</x:v>
      </x:c>
      <x:c r="C38" s="22" t="str">
        <x:v>高端产品</x:v>
      </x:c>
      <x:c r="D38" s="22" t="str">
        <x:v>Premium</x:v>
      </x:c>
    </x:row>
    <x:row r="39">
      <x:c r="A39" s="22" t="str">
        <x:v>Positioning</x:v>
      </x:c>
      <x:c r="B39" s="22" t="str">
        <x:v>Margin Product</x:v>
      </x:c>
      <x:c r="C39" s="22" t="str">
        <x:v>利润产品</x:v>
      </x:c>
      <x:c r="D39" s="22" t="str">
        <x:v>Margin</x:v>
      </x:c>
    </x:row>
    <x:row r="40">
      <x:c r="A40" s="22" t="str">
        <x:v>Positioning</x:v>
      </x:c>
      <x:c r="B40" s="22" t="str">
        <x:v>Traffic Product</x:v>
      </x:c>
      <x:c r="C40" s="22" t="str">
        <x:v>流量产品</x:v>
      </x:c>
      <x:c r="D40" s="22" t="str">
        <x:v>Traffic</x:v>
      </x:c>
    </x:row>
    <x:row r="41">
      <x:c r="A41" s="22" t="str">
        <x:v>Positioning</x:v>
      </x:c>
      <x:c r="B41" s="22" t="str">
        <x:v>Giftable</x:v>
      </x:c>
      <x:c r="C41" s="22" t="str">
        <x:v>礼赠型</x:v>
      </x:c>
      <x:c r="D41" s="22" t="str">
        <x:v>Gift</x:v>
      </x:c>
    </x:row>
    <x:row r="42">
      <x:c r="A42" s="22" t="str">
        <x:v>Positioning</x:v>
      </x:c>
      <x:c r="B42" s="22" t="str">
        <x:v>Strategic Product</x:v>
      </x:c>
      <x:c r="C42" s="22" t="str">
        <x:v>战略产品</x:v>
      </x:c>
      <x:c r="D42" s="22" t="str">
        <x:v>Strategic</x:v>
      </x:c>
    </x:row>
    <x:row r="43">
      <x:c r="A43" s="22" t="str">
        <x:v>Positioning</x:v>
      </x:c>
      <x:c r="B43" s="22" t="str">
        <x:v>Innovation</x:v>
      </x:c>
      <x:c r="C43" s="22" t="str">
        <x:v>创新产品</x:v>
      </x:c>
      <x:c r="D43" s="22" t="str">
        <x:v>Innovation</x:v>
      </x:c>
    </x:row>
    <x:row r="44">
      <x:c r="A44" s="22" t="str">
        <x:v>Opportunity</x:v>
      </x:c>
      <x:c r="B44" s="22" t="str">
        <x:v>Portfolio Expansion</x:v>
      </x:c>
      <x:c r="C44" s="22" t="str">
        <x:v>产品线扩展</x:v>
      </x:c>
      <x:c r="D44" s="22" t="str">
        <x:v>Fill portfolio gap</x:v>
      </x:c>
    </x:row>
    <x:row r="45">
      <x:c r="A45" s="22" t="str">
        <x:v>Opportunity</x:v>
      </x:c>
      <x:c r="B45" s="22" t="str">
        <x:v>Premium Opportunity</x:v>
      </x:c>
      <x:c r="C45" s="22" t="str">
        <x:v>高端机会</x:v>
      </x:c>
      <x:c r="D45" s="22" t="str">
        <x:v>Premium tier</x:v>
      </x:c>
    </x:row>
    <x:row r="46">
      <x:c r="A46" s="22" t="str">
        <x:v>Opportunity</x:v>
      </x:c>
      <x:c r="B46" s="22" t="str">
        <x:v>New Category</x:v>
      </x:c>
      <x:c r="C46" s="22" t="str">
        <x:v>新品类</x:v>
      </x:c>
      <x:c r="D46" s="22" t="str">
        <x:v>Open new category</x:v>
      </x:c>
    </x:row>
    <x:row r="47">
      <x:c r="A47" s="22" t="str">
        <x:v>Opportunity</x:v>
      </x:c>
      <x:c r="B47" s="22" t="str">
        <x:v>Cross Sell</x:v>
      </x:c>
      <x:c r="C47" s="22" t="str">
        <x:v>交叉销售</x:v>
      </x:c>
      <x:c r="D47" s="22" t="str">
        <x:v>Cross-sell</x:v>
      </x:c>
    </x:row>
    <x:row r="48">
      <x:c r="A48" s="22" t="str">
        <x:v>Opportunity</x:v>
      </x:c>
      <x:c r="B48" s="22" t="str">
        <x:v>Upsell</x:v>
      </x:c>
      <x:c r="C48" s="22" t="str">
        <x:v>升级销售</x:v>
      </x:c>
      <x:c r="D48" s="22" t="str">
        <x:v>Upsell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34" hidden="0" customWidth="1"/>
    <x:col min="4" max="4" width="18" hidden="0" customWidth="1"/>
    <x:col min="5" max="5" width="22" hidden="0" customWidth="1"/>
    <x:col min="6" max="6" width="26" hidden="0" customWidth="1"/>
    <x:col min="7" max="7" width="30" hidden="0" customWidth="1"/>
    <x:col min="8" max="8" width="18" hidden="0" customWidth="1"/>
    <x:col min="9" max="9" width="24" hidden="0" customWidth="1"/>
    <x:col min="10" max="10" width="36" hidden="0" customWidth="1"/>
  </x:cols>
  <x:sheetData>
    <x:row r="1">
      <x:c r="A1" s="6" t="str">
        <x:v>SKU</x:v>
      </x:c>
      <x:c r="B1" s="6" t="str">
        <x:v>中文名</x:v>
      </x:c>
      <x:c r="C1" s="6" t="str">
        <x:v>English Name</x:v>
      </x:c>
      <x:c r="D1" s="6" t="str">
        <x:v>一级品类</x:v>
      </x:c>
      <x:c r="E1" s="6" t="str">
        <x:v>二级品类</x:v>
      </x:c>
      <x:c r="F1" s="6" t="str">
        <x:v>推荐风格</x:v>
      </x:c>
      <x:c r="G1" s="6" t="str">
        <x:v>目标人群</x:v>
      </x:c>
      <x:c r="H1" s="6" t="str">
        <x:v>价格等级</x:v>
      </x:c>
      <x:c r="I1" s="6" t="str">
        <x:v>示例推荐定位</x:v>
      </x:c>
      <x:c r="J1" s="6" t="str">
        <x:v>说明</x:v>
      </x:c>
    </x:row>
    <x:row r="2">
      <x:c r="A2" s="22" t="str">
        <x:v>EXAMPLE-F01</x:v>
      </x:c>
      <x:c r="B2" s="22" t="str">
        <x:v>示例女性多功能按摩器</x:v>
      </x:c>
      <x:c r="C2" s="22" t="str">
        <x:v>Example Female Multifunctional Massager</x:v>
      </x:c>
      <x:c r="D2" s="22" t="str">
        <x:v>Female</x:v>
      </x:c>
      <x:c r="E2" s="22" t="str">
        <x:v>Multifunctional</x:v>
      </x:c>
      <x:c r="F2" s="22" t="str">
        <x:v>Minimal / Premium</x:v>
      </x:c>
      <x:c r="G2" s="22" t="str">
        <x:v>Female / Premium / Wellness</x:v>
      </x:c>
      <x:c r="H2" s="22" t="str">
        <x:v>Premium</x:v>
      </x:c>
      <x:c r="I2" s="22" t="str">
        <x:v>Best Match</x:v>
      </x:c>
      <x:c r="J2" s="22" t="str">
        <x:v>Illustrative only / 仅为模板示例</x:v>
      </x:c>
    </x:row>
    <x:row r="3">
      <x:c r="A3" s="22" t="str">
        <x:v>EXAMPLE-C01</x:v>
      </x:c>
      <x:c r="B3" s="22" t="str">
        <x:v>示例夫妻互动产品</x:v>
      </x:c>
      <x:c r="C3" s="22" t="str">
        <x:v>Example Couples Interactive Product</x:v>
      </x:c>
      <x:c r="D3" s="22" t="str">
        <x:v>Couples</x:v>
      </x:c>
      <x:c r="E3" s="22" t="str">
        <x:v>Remote Play</x:v>
      </x:c>
      <x:c r="F3" s="22" t="str">
        <x:v>Modern / Technology</x:v>
      </x:c>
      <x:c r="G3" s="22" t="str">
        <x:v>Couples / Premium</x:v>
      </x:c>
      <x:c r="H3" s="22" t="str">
        <x:v>Premium</x:v>
      </x:c>
      <x:c r="I3" s="22" t="str">
        <x:v>Growth Opportunity</x:v>
      </x:c>
      <x:c r="J3" s="22" t="str">
        <x:v>Illustrative only / 仅为模板示例</x:v>
      </x:c>
    </x:row>
    <x:row r="4">
      <x:c r="A4" s="22" t="str">
        <x:v>EXAMPLE-W01</x:v>
      </x:c>
      <x:c r="B4" s="22" t="str">
        <x:v>示例水剂润滑产品</x:v>
      </x:c>
      <x:c r="C4" s="22" t="str">
        <x:v>Example Water-Based Lubricant</x:v>
      </x:c>
      <x:c r="D4" s="22" t="str">
        <x:v>Water-Based</x:v>
      </x:c>
      <x:c r="E4" s="22" t="str">
        <x:v>Lubricants</x:v>
      </x:c>
      <x:c r="F4" s="22" t="str">
        <x:v>Minimal / Wellness</x:v>
      </x:c>
      <x:c r="G4" s="22" t="str">
        <x:v>All Genders / Wellness</x:v>
      </x:c>
      <x:c r="H4" s="22" t="str">
        <x:v>Mid-Premium</x:v>
      </x:c>
      <x:c r="I4" s="22" t="str">
        <x:v>Hero Product</x:v>
      </x:c>
      <x:c r="J4" s="22" t="str">
        <x:v>Illustrative only / 仅为模板示例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>
      <x:c r="A1" s="6" t="str">
        <x:v>ProductStatus</x:v>
      </x:c>
      <x:c r="B1" s="6" t="str">
        <x:v>PrimaryCategory</x:v>
      </x:c>
      <x:c r="C1" s="6" t="str">
        <x:v>SecondaryCategory</x:v>
      </x:c>
      <x:c r="D1" s="6" t="str">
        <x:v>PriceLevel</x:v>
      </x:c>
      <x:c r="E1" s="6" t="str">
        <x:v>TargetGender</x:v>
      </x:c>
      <x:c r="F1" s="6" t="str">
        <x:v>DesignStyle</x:v>
      </x:c>
      <x:c r="G1" s="6" t="str">
        <x:v>Material</x:v>
      </x:c>
      <x:c r="H1" s="6" t="str">
        <x:v>Waterproof</x:v>
      </x:c>
      <x:c r="I1" s="6" t="str">
        <x:v>TargetMarket</x:v>
      </x:c>
      <x:c r="J1" s="6" t="str">
        <x:v>YesNo</x:v>
      </x:c>
      <x:c r="K1" s="6" t="str">
        <x:v>ProductPosition</x:v>
      </x:c>
    </x:row>
    <x:row r="2">
      <x:c r="A2" t="str">
        <x:v>Draft</x:v>
      </x:c>
      <x:c r="B2" t="str">
        <x:v>Female</x:v>
      </x:c>
      <x:c r="C2" t="str">
        <x:v>Massagers</x:v>
      </x:c>
      <x:c r="D2" t="str">
        <x:v>Entry</x:v>
      </x:c>
      <x:c r="E2" t="str">
        <x:v>Female</x:v>
      </x:c>
      <x:c r="F2" t="str">
        <x:v>Minimal</x:v>
      </x:c>
      <x:c r="G2" t="str">
        <x:v>Silicone</x:v>
      </x:c>
      <x:c r="H2" t="str">
        <x:v>No Waterproof</x:v>
      </x:c>
      <x:c r="I2" t="str">
        <x:v>US</x:v>
      </x:c>
      <x:c r="J2" t="str">
        <x:v>Yes</x:v>
      </x:c>
      <x:c r="K2" t="str">
        <x:v>Bestseller</x:v>
      </x:c>
    </x:row>
    <x:row r="3">
      <x:c r="A3" t="str">
        <x:v>Active</x:v>
      </x:c>
      <x:c r="B3" t="str">
        <x:v>Male</x:v>
      </x:c>
      <x:c r="C3" t="str">
        <x:v>Suction</x:v>
      </x:c>
      <x:c r="D3" t="str">
        <x:v>Mid</x:v>
      </x:c>
      <x:c r="E3" t="str">
        <x:v>Male</x:v>
      </x:c>
      <x:c r="F3" t="str">
        <x:v>Premium</x:v>
      </x:c>
      <x:c r="G3" t="str">
        <x:v>ABS</x:v>
      </x:c>
      <x:c r="H3" t="str">
        <x:v>Splash Resistant</x:v>
      </x:c>
      <x:c r="I3" t="str">
        <x:v>UK</x:v>
      </x:c>
      <x:c r="J3" t="str">
        <x:v>No</x:v>
      </x:c>
      <x:c r="K3" t="str">
        <x:v>New</x:v>
      </x:c>
    </x:row>
    <x:row r="4">
      <x:c r="A4" t="str">
        <x:v>New</x:v>
      </x:c>
      <x:c r="B4" t="str">
        <x:v>Couples</x:v>
      </x:c>
      <x:c r="C4" t="str">
        <x:v>Vibrators</x:v>
      </x:c>
      <x:c r="D4" t="str">
        <x:v>Mid-Premium</x:v>
      </x:c>
      <x:c r="E4" t="str">
        <x:v>All Genders</x:v>
      </x:c>
      <x:c r="F4" t="str">
        <x:v>Luxury</x:v>
      </x:c>
      <x:c r="G4" t="str">
        <x:v>PC</x:v>
      </x:c>
      <x:c r="H4" t="str">
        <x:v>IPX4</x:v>
      </x:c>
      <x:c r="I4" t="str">
        <x:v>EU</x:v>
      </x:c>
      <x:c r="K4" t="str">
        <x:v>Hero Product</x:v>
      </x:c>
    </x:row>
    <x:row r="5">
      <x:c r="A5" t="str">
        <x:v>Best Seller</x:v>
      </x:c>
      <x:c r="B5" t="str">
        <x:v>BDSM</x:v>
      </x:c>
      <x:c r="C5" t="str">
        <x:v>Wearables</x:v>
      </x:c>
      <x:c r="D5" t="str">
        <x:v>Premium</x:v>
      </x:c>
      <x:c r="E5" t="str">
        <x:v>Couples</x:v>
      </x:c>
      <x:c r="F5" t="str">
        <x:v>Feminine</x:v>
      </x:c>
      <x:c r="G5" t="str">
        <x:v>TPE</x:v>
      </x:c>
      <x:c r="H5" t="str">
        <x:v>IPX5</x:v>
      </x:c>
      <x:c r="I5" t="str">
        <x:v>Australia</x:v>
      </x:c>
      <x:c r="K5" t="str">
        <x:v>Entry Product</x:v>
      </x:c>
    </x:row>
    <x:row r="6">
      <x:c r="A6" t="str">
        <x:v>Strategic</x:v>
      </x:c>
      <x:c r="B6" t="str">
        <x:v>Water-Based</x:v>
      </x:c>
      <x:c r="C6" t="str">
        <x:v>Insertable</x:v>
      </x:c>
      <x:c r="D6" t="str">
        <x:v>Luxury</x:v>
      </x:c>
      <x:c r="F6" t="str">
        <x:v>Elegant</x:v>
      </x:c>
      <x:c r="G6" t="str">
        <x:v>TPR</x:v>
      </x:c>
      <x:c r="H6" t="str">
        <x:v>IPX6</x:v>
      </x:c>
      <x:c r="I6" t="str">
        <x:v>Japan</x:v>
      </x:c>
      <x:c r="K6" t="str">
        <x:v>Premium Product</x:v>
      </x:c>
    </x:row>
    <x:row r="7">
      <x:c r="A7" t="str">
        <x:v>Seasonal</x:v>
      </x:c>
      <x:c r="C7" t="str">
        <x:v>External</x:v>
      </x:c>
      <x:c r="F7" t="str">
        <x:v>Modern</x:v>
      </x:c>
      <x:c r="G7" t="str">
        <x:v>Metal</x:v>
      </x:c>
      <x:c r="H7" t="str">
        <x:v>IPX7</x:v>
      </x:c>
      <x:c r="I7" t="str">
        <x:v>Korea</x:v>
      </x:c>
      <x:c r="K7" t="str">
        <x:v>Margin Product</x:v>
      </x:c>
    </x:row>
    <x:row r="8">
      <x:c r="A8" t="str">
        <x:v>Discontinued</x:v>
      </x:c>
      <x:c r="C8" t="str">
        <x:v>Multifunctional</x:v>
      </x:c>
      <x:c r="F8" t="str">
        <x:v>Technology</x:v>
      </x:c>
      <x:c r="G8" t="str">
        <x:v>Glass</x:v>
      </x:c>
      <x:c r="H8" t="str">
        <x:v>IPX8</x:v>
      </x:c>
      <x:c r="I8" t="str">
        <x:v>Southeast Asia</x:v>
      </x:c>
      <x:c r="K8" t="str">
        <x:v>Traffic Product</x:v>
      </x:c>
    </x:row>
    <x:row r="9">
      <x:c r="A9" t="str">
        <x:v>Coming Soon</x:v>
      </x:c>
      <x:c r="C9" t="str">
        <x:v>Smart Devices</x:v>
      </x:c>
      <x:c r="F9" t="str">
        <x:v>Soft</x:v>
      </x:c>
      <x:c r="G9" t="str">
        <x:v>Aluminum</x:v>
      </x:c>
      <x:c r="I9" t="str">
        <x:v>Middle East</x:v>
      </x:c>
      <x:c r="K9" t="str">
        <x:v>Giftable</x:v>
      </x:c>
    </x:row>
    <x:row r="10">
      <x:c r="C10" t="str">
        <x:v>Accessories</x:v>
      </x:c>
      <x:c r="F10" t="str">
        <x:v>Cute</x:v>
      </x:c>
      <x:c r="G10" t="str">
        <x:v>Fabric</x:v>
      </x:c>
      <x:c r="I10" t="str">
        <x:v>Global</x:v>
      </x:c>
      <x:c r="K10" t="str">
        <x:v>Strategic Product</x:v>
      </x:c>
    </x:row>
    <x:row r="11">
      <x:c r="C11" t="str">
        <x:v>Male Massagers</x:v>
      </x:c>
      <x:c r="F11" t="str">
        <x:v>Fashion</x:v>
      </x:c>
      <x:c r="G11" t="str">
        <x:v>Other</x:v>
      </x:c>
      <x:c r="K11" t="str">
        <x:v>Innovation</x:v>
      </x:c>
    </x:row>
    <x:row r="12">
      <x:c r="C12" t="str">
        <x:v>Masturbators</x:v>
      </x:c>
      <x:c r="F12" t="str">
        <x:v>Artistic</x:v>
      </x:c>
    </x:row>
    <x:row r="13">
      <x:c r="C13" t="str">
        <x:v>Rings</x:v>
      </x:c>
      <x:c r="F13" t="str">
        <x:v>Discreet</x:v>
      </x:c>
    </x:row>
    <x:row r="14">
      <x:c r="C14" t="str">
        <x:v>Performance</x:v>
      </x:c>
      <x:c r="F14" t="str">
        <x:v>Bold</x:v>
      </x:c>
    </x:row>
    <x:row r="15">
      <x:c r="C15" t="str">
        <x:v>Prostate</x:v>
      </x:c>
      <x:c r="F15" t="str">
        <x:v>Playful</x:v>
      </x:c>
    </x:row>
    <x:row r="16">
      <x:c r="C16" t="str">
        <x:v>Couple Play</x:v>
      </x:c>
      <x:c r="F16" t="str">
        <x:v>Medical</x:v>
      </x:c>
    </x:row>
    <x:row r="17">
      <x:c r="C17" t="str">
        <x:v>Couples Wearables</x:v>
      </x:c>
      <x:c r="F17" t="str">
        <x:v>Wellness</x:v>
      </x:c>
    </x:row>
    <x:row r="18">
      <x:c r="C18" t="str">
        <x:v>Remote Play</x:v>
      </x:c>
    </x:row>
    <x:row r="19">
      <x:c r="C19" t="str">
        <x:v>Couples Massagers</x:v>
      </x:c>
    </x:row>
    <x:row r="20">
      <x:c r="C20" t="str">
        <x:v>Couple Toys</x:v>
      </x:c>
    </x:row>
    <x:row r="21">
      <x:c r="C21" t="str">
        <x:v>Couple Games</x:v>
      </x:c>
    </x:row>
    <x:row r="22">
      <x:c r="C22" t="str">
        <x:v>Gift Sets</x:v>
      </x:c>
    </x:row>
    <x:row r="23">
      <x:c r="C23" t="str">
        <x:v>Blindfolds</x:v>
      </x:c>
    </x:row>
    <x:row r="24">
      <x:c r="C24" t="str">
        <x:v>Restraints</x:v>
      </x:c>
    </x:row>
    <x:row r="25">
      <x:c r="C25" t="str">
        <x:v>Collars</x:v>
      </x:c>
    </x:row>
    <x:row r="26">
      <x:c r="C26" t="str">
        <x:v>Roleplay</x:v>
      </x:c>
    </x:row>
    <x:row r="27">
      <x:c r="C27" t="str">
        <x:v>Sensory Play</x:v>
      </x:c>
    </x:row>
    <x:row r="28">
      <x:c r="C28" t="str">
        <x:v>Control Products</x:v>
      </x:c>
    </x:row>
    <x:row r="29">
      <x:c r="C29" t="str">
        <x:v>BDSM Sets</x:v>
      </x:c>
    </x:row>
    <x:row r="30">
      <x:c r="C30" t="str">
        <x:v>Lubricants</x:v>
      </x:c>
    </x:row>
    <x:row r="31">
      <x:c r="C31" t="str">
        <x:v>Feminine Care</x:v>
      </x:c>
    </x:row>
    <x:row r="32">
      <x:c r="C32" t="str">
        <x:v>Intimate Cleansing</x:v>
      </x:c>
    </x:row>
    <x:row r="33">
      <x:c r="C33" t="str">
        <x:v>Applicator Products</x:v>
      </x:c>
    </x:row>
    <x:row r="34">
      <x:c r="C34" t="str">
        <x:v>Massage Products</x:v>
      </x:c>
    </x:row>
    <x:row r="35">
      <x:c r="C35" t="str">
        <x:v>Functional Liquids</x:v>
      </x:c>
    </x:row>
    <x:row r="36">
      <x:c r="C36" t="str">
        <x:v>Travel Size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12" hidden="0" customWidth="1"/>
    <x:col min="5" max="5" width="48" hidden="0" customWidth="1"/>
    <x:col min="6" max="6" width="30" hidden="0" customWidth="1"/>
    <x:col min="7" max="7" width="14" hidden="0" customWidth="1"/>
    <x:col min="8" max="8" width="44" hidden="0" customWidth="1"/>
  </x:cols>
  <x:sheetData>
    <x:row r="1">
      <x:c r="A1" s="6" t="str">
        <x:v>Scoring Layer</x:v>
      </x:c>
      <x:c r="B1" s="6" t="str">
        <x:v>English</x:v>
      </x:c>
      <x:c r="C1" s="6" t="str">
        <x:v>中文</x:v>
      </x:c>
      <x:c r="D1" s="6" t="str">
        <x:v>Weight</x:v>
      </x:c>
      <x:c r="E1" s="6" t="str">
        <x:v>Formula / Rule</x:v>
      </x:c>
      <x:c r="F1" s="6" t="str">
        <x:v>Input Source</x:v>
      </x:c>
      <x:c r="G1" s="6" t="str">
        <x:v>Output</x:v>
      </x:c>
      <x:c r="H1" s="6" t="str">
        <x:v>Notes</x:v>
      </x:c>
    </x:row>
    <x:row r="2">
      <x:c r="A2" s="22" t="str">
        <x:v>Product Intelligence</x:v>
      </x:c>
      <x:c r="B2" s="22" t="str">
        <x:v>Product Quality</x:v>
      </x:c>
      <x:c r="C2" s="22" t="str">
        <x:v>产品力</x:v>
      </x:c>
      <x:c r="D2" s="22" t="str">
        <x:v>20%</x:v>
      </x:c>
      <x:c r="E2" s="22" t="str">
        <x:v>Q×20%</x:v>
      </x:c>
      <x:c r="F2" s="22" t="str">
        <x:v>Verified product data + review</x:v>
      </x:c>
      <x:c r="G2" s="22" t="str">
        <x:v>0-100</x:v>
      </x:c>
      <x:c r="H2" s="22" t="str">
        <x:v>Material, engineering, usability, stability</x:v>
      </x:c>
    </x:row>
    <x:row r="3">
      <x:c r="A3" s="22" t="str">
        <x:v>Product Intelligence</x:v>
      </x:c>
      <x:c r="B3" s="22" t="str">
        <x:v>Design Value</x:v>
      </x:c>
      <x:c r="C3" s="22" t="str">
        <x:v>设计价值</x:v>
      </x:c>
      <x:c r="D3" s="22" t="str">
        <x:v>15%</x:v>
      </x:c>
      <x:c r="E3" s="22" t="str">
        <x:v>D×15%</x:v>
      </x:c>
      <x:c r="F3" s="22" t="str">
        <x:v>Images + design review</x:v>
      </x:c>
      <x:c r="G3" s="22" t="str">
        <x:v>0-100</x:v>
      </x:c>
      <x:c r="H3" s="22" t="str">
        <x:v>Form, CMF, packaging, perceived value</x:v>
      </x:c>
    </x:row>
    <x:row r="4">
      <x:c r="A4" s="22" t="str">
        <x:v>Product Intelligence</x:v>
      </x:c>
      <x:c r="B4" s="22" t="str">
        <x:v>Functional Differentiation</x:v>
      </x:c>
      <x:c r="C4" s="22" t="str">
        <x:v>功能差异化</x:v>
      </x:c>
      <x:c r="D4" s="22" t="str">
        <x:v>15%</x:v>
      </x:c>
      <x:c r="E4" s="22" t="str">
        <x:v>F×15%</x:v>
      </x:c>
      <x:c r="F4" s="22" t="str">
        <x:v>Product specs</x:v>
      </x:c>
      <x:c r="G4" s="22" t="str">
        <x:v>0-100</x:v>
      </x:c>
      <x:c r="H4" s="22" t="str">
        <x:v>Differentiation vs category peers</x:v>
      </x:c>
    </x:row>
    <x:row r="5">
      <x:c r="A5" s="22" t="str">
        <x:v>Product Intelligence</x:v>
      </x:c>
      <x:c r="B5" s="22" t="str">
        <x:v>Commercial Potential</x:v>
      </x:c>
      <x:c r="C5" s="22" t="str">
        <x:v>商业潜力</x:v>
      </x:c>
      <x:c r="D5" s="22" t="str">
        <x:v>20%</x:v>
      </x:c>
      <x:c r="E5" s="22" t="str">
        <x:v>C×20%</x:v>
      </x:c>
      <x:c r="F5" s="22" t="str">
        <x:v>Commercial/product data</x:v>
      </x:c>
      <x:c r="G5" s="22" t="str">
        <x:v>0-100</x:v>
      </x:c>
      <x:c r="H5" s="22" t="str">
        <x:v>Margin, channel fit, assortment value</x:v>
      </x:c>
    </x:row>
    <x:row r="6">
      <x:c r="A6" s="22" t="str">
        <x:v>Product Intelligence</x:v>
      </x:c>
      <x:c r="B6" s="22" t="str">
        <x:v>Market Adaptability</x:v>
      </x:c>
      <x:c r="C6" s="22" t="str">
        <x:v>市场适配</x:v>
      </x:c>
      <x:c r="D6" s="22" t="str">
        <x:v>15%</x:v>
      </x:c>
      <x:c r="E6" s="22" t="str">
        <x:v>M×15%</x:v>
      </x:c>
      <x:c r="F6" s="22" t="str">
        <x:v>Market research</x:v>
      </x:c>
      <x:c r="G6" s="22" t="str">
        <x:v>0-100</x:v>
      </x:c>
      <x:c r="H6" s="22" t="str">
        <x:v>Target market fit</x:v>
      </x:c>
    </x:row>
    <x:row r="7">
      <x:c r="A7" s="22" t="str">
        <x:v>Product Intelligence</x:v>
      </x:c>
      <x:c r="B7" s="22" t="str">
        <x:v>Brand Value</x:v>
      </x:c>
      <x:c r="C7" s="22" t="str">
        <x:v>品牌价值</x:v>
      </x:c>
      <x:c r="D7" s="22" t="str">
        <x:v>15%</x:v>
      </x:c>
      <x:c r="E7" s="22" t="str">
        <x:v>B×15%</x:v>
      </x:c>
      <x:c r="F7" s="22" t="str">
        <x:v>Brand/product team</x:v>
      </x:c>
      <x:c r="G7" s="22" t="str">
        <x:v>0-100</x:v>
      </x:c>
      <x:c r="H7" s="22" t="str">
        <x:v>Represents SHAKI brand value</x:v>
      </x:c>
    </x:row>
    <x:row r="8">
      <x:c r="A8" s="22" t="str">
        <x:v>Product Intelligence</x:v>
      </x:c>
      <x:c r="B8" s="22" t="str">
        <x:v>Final</x:v>
      </x:c>
      <x:c r="C8" s="22" t="str">
        <x:v>产品智能评分</x:v>
      </x:c>
      <x:c r="D8" s="22" t="str">
        <x:v>100%</x:v>
      </x:c>
      <x:c r="E8" s="22" t="str">
        <x:v>ROUND(Q20%+D15%+F15%+C20%+M15%+B15%,0)</x:v>
      </x:c>
      <x:c r="F8" s="22" t="str"/>
      <x:c r="G8" s="22" t="str">
        <x:v>0-100</x:v>
      </x:c>
      <x:c r="H8" s="22" t="str"/>
    </x:row>
    <x:row r="9">
      <x:c r="A9" s="22" t="str">
        <x:v>Client Fit</x:v>
      </x:c>
      <x:c r="B9" s="22" t="str">
        <x:v>Category Fit</x:v>
      </x:c>
      <x:c r="C9" s="22" t="str">
        <x:v>品类适配</x:v>
      </x:c>
      <x:c r="D9" s="22" t="str">
        <x:v>20%</x:v>
      </x:c>
      <x:c r="E9" s="22" t="str">
        <x:v>Category×20%</x:v>
      </x:c>
      <x:c r="F9" s="22" t="str">
        <x:v>Client + product</x:v>
      </x:c>
      <x:c r="G9" s="22" t="str">
        <x:v>0-100</x:v>
      </x:c>
      <x:c r="H9" s="22" t="str">
        <x:v>Category overlap</x:v>
      </x:c>
    </x:row>
    <x:row r="10">
      <x:c r="A10" s="22" t="str">
        <x:v>Client Fit</x:v>
      </x:c>
      <x:c r="B10" s="22" t="str">
        <x:v>Audience Fit</x:v>
      </x:c>
      <x:c r="C10" s="22" t="str">
        <x:v>用户适配</x:v>
      </x:c>
      <x:c r="D10" s="22" t="str">
        <x:v>20%</x:v>
      </x:c>
      <x:c r="E10" s="22" t="str">
        <x:v>Audience×20%</x:v>
      </x:c>
      <x:c r="F10" s="22" t="str">
        <x:v>Client + product</x:v>
      </x:c>
      <x:c r="G10" s="22" t="str">
        <x:v>0-100</x:v>
      </x:c>
      <x:c r="H10" s="22" t="str">
        <x:v>Audience overlap</x:v>
      </x:c>
    </x:row>
    <x:row r="11">
      <x:c r="A11" s="22" t="str">
        <x:v>Client Fit</x:v>
      </x:c>
      <x:c r="B11" s="22" t="str">
        <x:v>Brand Fit</x:v>
      </x:c>
      <x:c r="C11" s="22" t="str">
        <x:v>品牌风格</x:v>
      </x:c>
      <x:c r="D11" s="22" t="str">
        <x:v>15%</x:v>
      </x:c>
      <x:c r="E11" s="22" t="str">
        <x:v>Brand×15%</x:v>
      </x:c>
      <x:c r="F11" s="22" t="str">
        <x:v>Website + social + product</x:v>
      </x:c>
      <x:c r="G11" s="22" t="str">
        <x:v>0-100</x:v>
      </x:c>
      <x:c r="H11" s="22" t="str">
        <x:v>Visual/brand consistency</x:v>
      </x:c>
    </x:row>
    <x:row r="12">
      <x:c r="A12" s="22" t="str">
        <x:v>Client Fit</x:v>
      </x:c>
      <x:c r="B12" s="22" t="str">
        <x:v>Price Fit</x:v>
      </x:c>
      <x:c r="C12" s="22" t="str">
        <x:v>价格带</x:v>
      </x:c>
      <x:c r="D12" s="22" t="str">
        <x:v>15%</x:v>
      </x:c>
      <x:c r="E12" s="22" t="str">
        <x:v>Price×15%</x:v>
      </x:c>
      <x:c r="F12" s="22" t="str">
        <x:v>Client portfolio + product</x:v>
      </x:c>
      <x:c r="G12" s="22" t="str">
        <x:v>0-100</x:v>
      </x:c>
      <x:c r="H12" s="22" t="str">
        <x:v>Price corridor overlap</x:v>
      </x:c>
    </x:row>
    <x:row r="13">
      <x:c r="A13" s="22" t="str">
        <x:v>Client Fit</x:v>
      </x:c>
      <x:c r="B13" s="22" t="str">
        <x:v>Portfolio Fit</x:v>
      </x:c>
      <x:c r="C13" s="22" t="str">
        <x:v>产品线</x:v>
      </x:c>
      <x:c r="D13" s="22" t="str">
        <x:v>15%</x:v>
      </x:c>
      <x:c r="E13" s="22" t="str">
        <x:v>Portfolio×15%</x:v>
      </x:c>
      <x:c r="F13" s="22" t="str">
        <x:v>Client product map</x:v>
      </x:c>
      <x:c r="G13" s="22" t="str">
        <x:v>0-100</x:v>
      </x:c>
      <x:c r="H13" s="22" t="str">
        <x:v>Complementarity, not duplication</x:v>
      </x:c>
    </x:row>
    <x:row r="14">
      <x:c r="A14" s="22" t="str">
        <x:v>Client Fit</x:v>
      </x:c>
      <x:c r="B14" s="22" t="str">
        <x:v>Market Fit</x:v>
      </x:c>
      <x:c r="C14" s="22" t="str">
        <x:v>市场</x:v>
      </x:c>
      <x:c r="D14" s="22" t="str">
        <x:v>15%</x:v>
      </x:c>
      <x:c r="E14" s="22" t="str">
        <x:v>Market×15%</x:v>
      </x:c>
      <x:c r="F14" s="22" t="str">
        <x:v>Client market + product</x:v>
      </x:c>
      <x:c r="G14" s="22" t="str">
        <x:v>0-100</x:v>
      </x:c>
      <x:c r="H14" s="22" t="str">
        <x:v>Market suitability</x:v>
      </x:c>
    </x:row>
    <x:row r="15">
      <x:c r="A15" s="22" t="str">
        <x:v>Client Fit</x:v>
      </x:c>
      <x:c r="B15" s="22" t="str">
        <x:v>Final</x:v>
      </x:c>
      <x:c r="C15" s="22" t="str">
        <x:v>客户适配评分</x:v>
      </x:c>
      <x:c r="D15" s="22" t="str">
        <x:v>100%</x:v>
      </x:c>
      <x:c r="E15" s="22" t="str">
        <x:v>ROUND(Cat20%+Aud20%+Brand15%+Price15%+Port15%+Market15%,0)</x:v>
      </x:c>
      <x:c r="F15" s="22" t="str"/>
      <x:c r="G15" s="22" t="str">
        <x:v>0-100</x:v>
      </x:c>
      <x:c r="H15" s="22" t="str"/>
    </x:row>
    <x:row r="16">
      <x:c r="A16" s="22" t="str">
        <x:v>Potential</x:v>
      </x:c>
      <x:c r="B16" s="22" t="str">
        <x:v>Portfolio Gap</x:v>
      </x:c>
      <x:c r="C16" s="22" t="str">
        <x:v>产品线缺口</x:v>
      </x:c>
      <x:c r="D16" s="22" t="str">
        <x:v>25%</x:v>
      </x:c>
      <x:c r="E16" s="22" t="str">
        <x:v>Gap×25%</x:v>
      </x:c>
      <x:c r="F16" s="22" t="str">
        <x:v>Client portfolio</x:v>
      </x:c>
      <x:c r="G16" s="22" t="str">
        <x:v>0-100</x:v>
      </x:c>
      <x:c r="H16" s="22" t="str">
        <x:v>Missing category / price tier</x:v>
      </x:c>
    </x:row>
    <x:row r="17">
      <x:c r="A17" s="22" t="str">
        <x:v>Potential</x:v>
      </x:c>
      <x:c r="B17" s="22" t="str">
        <x:v>Market Opportunity</x:v>
      </x:c>
      <x:c r="C17" s="22" t="str">
        <x:v>市场机会</x:v>
      </x:c>
      <x:c r="D17" s="22" t="str">
        <x:v>25%</x:v>
      </x:c>
      <x:c r="E17" s="22" t="str">
        <x:v>MarketOpp×25%</x:v>
      </x:c>
      <x:c r="F17" s="22" t="str">
        <x:v>Market data</x:v>
      </x:c>
      <x:c r="G17" s="22" t="str">
        <x:v>0-100</x:v>
      </x:c>
      <x:c r="H17" s="22" t="str">
        <x:v>Demand / category opportunity</x:v>
      </x:c>
    </x:row>
    <x:row r="18">
      <x:c r="A18" s="22" t="str">
        <x:v>Potential</x:v>
      </x:c>
      <x:c r="B18" s="22" t="str">
        <x:v>Differentiation</x:v>
      </x:c>
      <x:c r="C18" s="22" t="str">
        <x:v>产品差异化</x:v>
      </x:c>
      <x:c r="D18" s="22" t="str">
        <x:v>20%</x:v>
      </x:c>
      <x:c r="E18" s="22" t="str">
        <x:v>Diff×20%</x:v>
      </x:c>
      <x:c r="F18" s="22" t="str">
        <x:v>Product intelligence</x:v>
      </x:c>
      <x:c r="G18" s="22" t="str">
        <x:v>0-100</x:v>
      </x:c>
      <x:c r="H18" s="22" t="str">
        <x:v>Uniqueness</x:v>
      </x:c>
    </x:row>
    <x:row r="19">
      <x:c r="A19" s="22" t="str">
        <x:v>Potential</x:v>
      </x:c>
      <x:c r="B19" s="22" t="str">
        <x:v>Price Expansion</x:v>
      </x:c>
      <x:c r="C19" s="22" t="str">
        <x:v>价格带扩展</x:v>
      </x:c>
      <x:c r="D19" s="22" t="str">
        <x:v>15%</x:v>
      </x:c>
      <x:c r="E19" s="22" t="str">
        <x:v>PriceExp×15%</x:v>
      </x:c>
      <x:c r="F19" s="22" t="str">
        <x:v>Client + product</x:v>
      </x:c>
      <x:c r="G19" s="22" t="str">
        <x:v>0-100</x:v>
      </x:c>
      <x:c r="H19" s="22" t="str">
        <x:v>Ability to create premium tier</x:v>
      </x:c>
    </x:row>
    <x:row r="20">
      <x:c r="A20" s="22" t="str">
        <x:v>Potential</x:v>
      </x:c>
      <x:c r="B20" s="22" t="str">
        <x:v>Strategic Value</x:v>
      </x:c>
      <x:c r="C20" s="22" t="str">
        <x:v>战略价值</x:v>
      </x:c>
      <x:c r="D20" s="22" t="str">
        <x:v>15%</x:v>
      </x:c>
      <x:c r="E20" s="22" t="str">
        <x:v>Strategic×15%</x:v>
      </x:c>
      <x:c r="F20" s="22" t="str">
        <x:v>Management/product</x:v>
      </x:c>
      <x:c r="G20" s="22" t="str">
        <x:v>0-100</x:v>
      </x:c>
      <x:c r="H20" s="22" t="str">
        <x:v>Strategic importance</x:v>
      </x:c>
    </x:row>
    <x:row r="21">
      <x:c r="A21" s="22" t="str">
        <x:v>Potential</x:v>
      </x:c>
      <x:c r="B21" s="22" t="str">
        <x:v>Final</x:v>
      </x:c>
      <x:c r="C21" s="22" t="str">
        <x:v>Potential Score</x:v>
      </x:c>
      <x:c r="D21" s="22" t="str">
        <x:v>100%</x:v>
      </x:c>
      <x:c r="E21" s="22" t="str">
        <x:v>Weighted sum</x:v>
      </x:c>
      <x:c r="F21" s="22" t="str"/>
      <x:c r="G21" s="22" t="str">
        <x:v>0-100</x:v>
      </x:c>
      <x:c r="H21" s="22" t="str">
        <x:v>Separate from Fit Score</x:v>
      </x:c>
    </x:row>
    <x:row r="22">
      <x:c r="A22" s="22" t="str">
        <x:v>Recommendation</x:v>
      </x:c>
      <x:c r="B22" s="22" t="str">
        <x:v>Final</x:v>
      </x:c>
      <x:c r="C22" s="22" t="str">
        <x:v>最终推荐分</x:v>
      </x:c>
      <x:c r="D22" s="22" t="str">
        <x:v>100%</x:v>
      </x:c>
      <x:c r="E22" s="22" t="str">
        <x:v>Fit×40% + Product×20% + Market×15% + Gap×10% + Sales×10% + Strategic×5%</x:v>
      </x:c>
      <x:c r="F22" s="22" t="str"/>
      <x:c r="G22" s="22" t="str">
        <x:v>0-100</x:v>
      </x:c>
      <x:c r="H22" s="22" t="str">
        <x:v>Used for ranking after hard filters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42" hidden="0" customWidth="1"/>
    <x:col min="5" max="5" width="30" hidden="0" customWidth="1"/>
    <x:col min="6" max="6" width="28" hidden="0" customWidth="1"/>
  </x:cols>
  <x:sheetData>
    <x:row r="1">
      <x:c r="A1" s="6" t="str">
        <x:v>Asset</x:v>
      </x:c>
      <x:c r="B1" s="6" t="str">
        <x:v>中文</x:v>
      </x:c>
      <x:c r="C1" s="6" t="str">
        <x:v>Required</x:v>
      </x:c>
      <x:c r="D1" s="6" t="str">
        <x:v>Recommended Specs</x:v>
      </x:c>
      <x:c r="E1" s="6" t="str">
        <x:v>Filename Pattern</x:v>
      </x:c>
      <x:c r="F1" s="6" t="str">
        <x:v>Usage</x:v>
      </x:c>
    </x:row>
    <x:row r="2">
      <x:c r="A2" s="22" t="str">
        <x:v>Hero</x:v>
      </x:c>
      <x:c r="B2" s="22" t="str">
        <x:v>主图</x:v>
      </x:c>
      <x:c r="C2" s="22" t="str">
        <x:v>Yes</x:v>
      </x:c>
      <x:c r="D2" s="22" t="str">
        <x:v>≥2000×2000px, clean background</x:v>
      </x:c>
      <x:c r="E2" s="22" t="str">
        <x:v>SKU_01_HERO.webp</x:v>
      </x:c>
      <x:c r="F2" s="22" t="str">
        <x:v>AI card / product page</x:v>
      </x:c>
    </x:row>
    <x:row r="3">
      <x:c r="A3" s="22" t="str">
        <x:v>Front</x:v>
      </x:c>
      <x:c r="B3" s="22" t="str">
        <x:v>正面图</x:v>
      </x:c>
      <x:c r="C3" s="22" t="str">
        <x:v>Recommended</x:v>
      </x:c>
      <x:c r="D3" s="22" t="str">
        <x:v>≥1600px long edge</x:v>
      </x:c>
      <x:c r="E3" s="22" t="str">
        <x:v>SKU_02_FRONT.webp</x:v>
      </x:c>
      <x:c r="F3" s="22" t="str">
        <x:v>Product detail</x:v>
      </x:c>
    </x:row>
    <x:row r="4">
      <x:c r="A4" s="22" t="str">
        <x:v>Side</x:v>
      </x:c>
      <x:c r="B4" s="22" t="str">
        <x:v>侧面图</x:v>
      </x:c>
      <x:c r="C4" s="22" t="str">
        <x:v>Recommended</x:v>
      </x:c>
      <x:c r="D4" s="22" t="str">
        <x:v>≥1600px long edge</x:v>
      </x:c>
      <x:c r="E4" s="22" t="str">
        <x:v>SKU_03_SIDE.webp</x:v>
      </x:c>
      <x:c r="F4" s="22" t="str">
        <x:v>Product detail</x:v>
      </x:c>
    </x:row>
    <x:row r="5">
      <x:c r="A5" s="22" t="str">
        <x:v>Detail</x:v>
      </x:c>
      <x:c r="B5" s="22" t="str">
        <x:v>细节图</x:v>
      </x:c>
      <x:c r="C5" s="22" t="str">
        <x:v>Recommended</x:v>
      </x:c>
      <x:c r="D5" s="22" t="str">
        <x:v>≥1600px long edge</x:v>
      </x:c>
      <x:c r="E5" s="22" t="str">
        <x:v>SKU_04_DETAIL.webp</x:v>
      </x:c>
      <x:c r="F5" s="22" t="str">
        <x:v>Product detail</x:v>
      </x:c>
    </x:row>
    <x:row r="6">
      <x:c r="A6" s="22" t="str">
        <x:v>Packaging</x:v>
      </x:c>
      <x:c r="B6" s="22" t="str">
        <x:v>包装图</x:v>
      </x:c>
      <x:c r="C6" s="22" t="str">
        <x:v>Recommended</x:v>
      </x:c>
      <x:c r="D6" s="22" t="str">
        <x:v>≥1600px long edge</x:v>
      </x:c>
      <x:c r="E6" s="22" t="str">
        <x:v>SKU_05_PACKAGING.webp</x:v>
      </x:c>
      <x:c r="F6" s="22" t="str">
        <x:v>Proposal</x:v>
      </x:c>
    </x:row>
    <x:row r="7">
      <x:c r="A7" s="22" t="str">
        <x:v>Lifestyle</x:v>
      </x:c>
      <x:c r="B7" s="22" t="str">
        <x:v>场景图</x:v>
      </x:c>
      <x:c r="C7" s="22" t="str">
        <x:v>Recommended</x:v>
      </x:c>
      <x:c r="D7" s="22" t="str">
        <x:v>≥2000px long edge; 1:1 / 4:5 / 16:9 / 9:16</x:v>
      </x:c>
      <x:c r="E7" s="22" t="str">
        <x:v>SKU_06_LIFESTYLE.webp</x:v>
      </x:c>
      <x:c r="F7" s="22" t="str">
        <x:v>Proposal / share</x:v>
      </x:c>
    </x:row>
    <x:row r="8">
      <x:c r="A8" s="22" t="str">
        <x:v>Feature</x:v>
      </x:c>
      <x:c r="B8" s="22" t="str">
        <x:v>卖点图</x:v>
      </x:c>
      <x:c r="C8" s="22" t="str">
        <x:v>Optional</x:v>
      </x:c>
      <x:c r="D8" s="22" t="str">
        <x:v>≥1600px long edge</x:v>
      </x:c>
      <x:c r="E8" s="22" t="str">
        <x:v>SKU_07_FEATURE.webp</x:v>
      </x:c>
      <x:c r="F8" s="22" t="str">
        <x:v>Sales</x:v>
      </x:c>
    </x:row>
    <x:row r="9">
      <x:c r="A9" s="22" t="str">
        <x:v>Size</x:v>
      </x:c>
      <x:c r="B9" s="22" t="str">
        <x:v>尺寸图</x:v>
      </x:c>
      <x:c r="C9" s="22" t="str">
        <x:v>Recommended</x:v>
      </x:c>
      <x:c r="D9" s="22" t="str">
        <x:v>≥1600px long edge</x:v>
      </x:c>
      <x:c r="E9" s="22" t="str">
        <x:v>SKU_08_SIZE.webp</x:v>
      </x:c>
      <x:c r="F9" s="22" t="str">
        <x:v>Specs</x:v>
      </x:c>
    </x:row>
    <x:row r="10">
      <x:c r="A10" s="22" t="str">
        <x:v>Instruction</x:v>
      </x:c>
      <x:c r="B10" s="22" t="str">
        <x:v>说明图</x:v>
      </x:c>
      <x:c r="C10" s="22" t="str">
        <x:v>Optional</x:v>
      </x:c>
      <x:c r="D10" s="22" t="str">
        <x:v>≥1600px long edge</x:v>
      </x:c>
      <x:c r="E10" s="22" t="str">
        <x:v>SKU_09_INSTRUCTION.webp</x:v>
      </x:c>
      <x:c r="F10" s="22" t="str">
        <x:v>Support</x:v>
      </x:c>
    </x:row>
    <x:row r="11">
      <x:c r="A11" s="22" t="str">
        <x:v>Video</x:v>
      </x:c>
      <x:c r="B11" s="22" t="str">
        <x:v>产品视频</x:v>
      </x:c>
      <x:c r="C11" s="22" t="str">
        <x:v>Recommended</x:v>
      </x:c>
      <x:c r="D11" s="22" t="str">
        <x:v>1080p+, no watermark</x:v>
      </x:c>
      <x:c r="E11" s="22" t="str">
        <x:v>SKU_10_VIDEO.mp4</x:v>
      </x:c>
      <x:c r="F11" s="22" t="str">
        <x:v>Proposal / product page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28" t="str">
        <x:v>SHAKI Product Intelligence | Product Master Template V3.0</x:v>
      </x:c>
      <x:c r="B1" s="28"/>
      <x:c r="C1" s="28"/>
      <x:c r="D1" s="28"/>
      <x:c r="E1" s="28"/>
      <x:c r="F1" s="28"/>
      <x:c r="G1" s="28"/>
      <x:c r="H1" s="28"/>
    </x:row>
    <x:row r="3">
      <x:c r="A3" s="37" t="str">
        <x:v>Purpose / 用途</x:v>
      </x:c>
      <x:c r="B3" s="37" t="str"/>
      <x:c r="C3" s="37" t="str"/>
      <x:c r="D3" s="37" t="str"/>
      <x:c r="E3" s="37" t="str"/>
      <x:c r="F3" s="37" t="str"/>
      <x:c r="G3" s="37" t="str"/>
      <x:c r="H3" s="37" t="str"/>
    </x:row>
    <x:row r="4">
      <x:c r="A4" s="22" t="str">
        <x:v>建立SHAKI统一SKU产品智能数据库，作为AI推品、Proposal与Sales OS的数据事实来源。</x:v>
      </x:c>
      <x:c r="B4" s="22" t="str"/>
      <x:c r="C4" s="22" t="str"/>
      <x:c r="D4" s="22" t="str"/>
      <x:c r="E4" s="22" t="str"/>
      <x:c r="F4" s="22" t="str"/>
      <x:c r="G4" s="22" t="str"/>
      <x:c r="H4" s="22" t="str"/>
    </x:row>
    <x:row r="5">
      <x:c r="A5" s="22" t="str">
        <x:v>Primary categories / 一级品类</x:v>
      </x:c>
      <x:c r="B5" s="22" t="str">
        <x:v>Female 女用</x:v>
      </x:c>
      <x:c r="C5" s="22" t="str">
        <x:v>Male 男用</x:v>
      </x:c>
      <x:c r="D5" s="22" t="str">
        <x:v>Couples 夫妻</x:v>
      </x:c>
      <x:c r="E5" s="22" t="str">
        <x:v>BDSM</x:v>
      </x:c>
      <x:c r="F5" s="22" t="str">
        <x:v>Water-Based 水剂</x:v>
      </x:c>
      <x:c r="G5" s="22" t="str"/>
      <x:c r="H5" s="22" t="str"/>
    </x:row>
    <x:row r="6">
      <x:c r="A6" s="22" t="str">
        <x:v>Workflow / 流程</x:v>
      </x:c>
      <x:c r="B6" s="22" t="str">
        <x:v>Import</x:v>
      </x:c>
      <x:c r="C6" s="22" t="str">
        <x:v>AI Parse</x:v>
      </x:c>
      <x:c r="D6" s="22" t="str">
        <x:v>AI Tag</x:v>
      </x:c>
      <x:c r="E6" s="22" t="str">
        <x:v>Human Review</x:v>
      </x:c>
      <x:c r="F6" s="22" t="str">
        <x:v>Approve</x:v>
      </x:c>
      <x:c r="G6" s="22" t="str">
        <x:v>Recommendation Pool</x:v>
      </x:c>
      <x:c r="H6" s="22" t="str"/>
    </x:row>
    <x:row r="7">
      <x:c r="A7" s="22" t="str">
        <x:v>Important / 重要</x:v>
      </x:c>
      <x:c r="B7" s="22" t="str">
        <x:v>官方产品资料 &gt; 产品规格 &gt; 认证文件 &gt; 业务输入 &gt; AI推断</x:v>
      </x:c>
      <x:c r="C7" s="22" t="str"/>
      <x:c r="D7" s="22" t="str"/>
      <x:c r="E7" s="22" t="str"/>
      <x:c r="F7" s="22" t="str"/>
      <x:c r="G7" s="22" t="str"/>
      <x:c r="H7" s="22" t="str"/>
    </x:row>
    <x:row r="8">
      <x:c r="A8" s="22" t="str">
        <x:v>Example data / 示例数据</x:v>
      </x:c>
      <x:c r="B8" s="22" t="str">
        <x:v>EXAMPLE行仅用于展示填写方式，不代表真实SHAKI商业数据。</x:v>
      </x:c>
      <x:c r="C8" s="22" t="str"/>
      <x:c r="D8" s="22" t="str"/>
      <x:c r="E8" s="22" t="str"/>
      <x:c r="F8" s="22" t="str"/>
      <x:c r="G8" s="22" t="str"/>
      <x:c r="H8" s="22" t="str"/>
    </x:row>
    <x:row r="9">
      <x:c r="A9" s="22"/>
      <x:c r="B9" s="22"/>
      <x:c r="C9" s="22"/>
      <x:c r="D9" s="22"/>
      <x:c r="E9" s="22"/>
      <x:c r="F9" s="22"/>
      <x:c r="G9" s="22"/>
      <x:c r="H9" s="22"/>
    </x:row>
    <x:row r="10">
      <x:c r="A10" s="37" t="str">
        <x:v>Workbook map / 工作表</x:v>
      </x:c>
      <x:c r="B10" s="37" t="str"/>
      <x:c r="C10" s="37" t="str"/>
      <x:c r="D10" s="37" t="str"/>
      <x:c r="E10" s="37" t="str"/>
      <x:c r="F10" s="37" t="str"/>
      <x:c r="G10" s="37" t="str"/>
      <x:c r="H10" s="37" t="str"/>
    </x:row>
    <x:row r="11">
      <x:c r="A11" s="22" t="str">
        <x:v>Product_Master</x:v>
      </x:c>
      <x:c r="B11" s="22" t="str">
        <x:v>实际SKU录入表（228字段）</x:v>
      </x:c>
      <x:c r="C11" s="22" t="str"/>
      <x:c r="D11" s="22" t="str"/>
      <x:c r="E11" s="22" t="str"/>
      <x:c r="F11" s="22" t="str"/>
      <x:c r="G11" s="22" t="str"/>
      <x:c r="H11" s="22" t="str"/>
    </x:row>
    <x:row r="12">
      <x:c r="A12" s="22" t="str">
        <x:v>Field_Dictionary</x:v>
      </x:c>
      <x:c r="B12" s="22" t="str">
        <x:v>字段定义、必填、来源、AI角色</x:v>
      </x:c>
      <x:c r="C12" s="22" t="str"/>
      <x:c r="D12" s="22" t="str"/>
      <x:c r="E12" s="22" t="str"/>
      <x:c r="F12" s="22" t="str"/>
      <x:c r="G12" s="22" t="str"/>
      <x:c r="H12" s="22" t="str"/>
    </x:row>
    <x:row r="13">
      <x:c r="A13" s="22" t="str">
        <x:v>Category_Taxonomy</x:v>
      </x:c>
      <x:c r="B13" s="22" t="str">
        <x:v>五大一级品类及二级分类</x:v>
      </x:c>
      <x:c r="C13" s="22" t="str"/>
      <x:c r="D13" s="22" t="str"/>
      <x:c r="E13" s="22" t="str"/>
      <x:c r="F13" s="22" t="str"/>
      <x:c r="G13" s="22" t="str"/>
      <x:c r="H13" s="22" t="str"/>
    </x:row>
    <x:row r="14">
      <x:c r="A14" s="22" t="str">
        <x:v>Tag_Dictionary</x:v>
      </x:c>
      <x:c r="B14" s="22" t="str">
        <x:v>标准标签词典</x:v>
      </x:c>
      <x:c r="C14" s="22" t="str"/>
      <x:c r="D14" s="22" t="str"/>
      <x:c r="E14" s="22" t="str"/>
      <x:c r="F14" s="22" t="str"/>
      <x:c r="G14" s="22" t="str"/>
      <x:c r="H14" s="22" t="str"/>
    </x:row>
    <x:row r="15">
      <x:c r="A15" s="22" t="str">
        <x:v>Scoring</x:v>
      </x:c>
      <x:c r="B15" s="22" t="str">
        <x:v>评分层级和权重</x:v>
      </x:c>
      <x:c r="C15" s="22" t="str"/>
      <x:c r="D15" s="22" t="str"/>
      <x:c r="E15" s="22" t="str"/>
      <x:c r="F15" s="22" t="str"/>
      <x:c r="G15" s="22" t="str"/>
      <x:c r="H15" s="22" t="str"/>
    </x:row>
    <x:row r="16">
      <x:c r="A16" s="22" t="str">
        <x:v>Media_Standard</x:v>
      </x:c>
      <x:c r="B16" s="22" t="str">
        <x:v>图片/视频标准</x:v>
      </x:c>
      <x:c r="C16" s="22" t="str"/>
      <x:c r="D16" s="22" t="str"/>
      <x:c r="E16" s="22" t="str"/>
      <x:c r="F16" s="22" t="str"/>
      <x:c r="G16" s="22" t="str"/>
      <x:c r="H16" s="22" t="str"/>
    </x:row>
  </x:sheetData>
  <x:mergeCells>
    <x:mergeCell ref="A1:H1"/>
  </x:mergeCells>
  <x:pageMargins left="0.7" right="0.7" top="0.75" bottom="0.75" header="0.3" footer="0.3"/>
</x:worksheet>
</file>